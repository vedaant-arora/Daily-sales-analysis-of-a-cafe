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_madras\bdm\"/>
    </mc:Choice>
  </mc:AlternateContent>
  <xr:revisionPtr revIDLastSave="0" documentId="13_ncr:1_{2DE8FBAF-0E28-4C49-966E-B925E4E6E326}" xr6:coauthVersionLast="47" xr6:coauthVersionMax="47" xr10:uidLastSave="{00000000-0000-0000-0000-000000000000}"/>
  <bookViews>
    <workbookView xWindow="-110" yWindow="-110" windowWidth="25820" windowHeight="16220" xr2:uid="{355C1265-CDA3-4832-BF5D-F46B2CD28138}"/>
  </bookViews>
  <sheets>
    <sheet name="Working data" sheetId="1" r:id="rId1"/>
    <sheet name="Sales by date line chart" sheetId="2" r:id="rId2"/>
    <sheet name="Expense by date line chart" sheetId="3" r:id="rId3"/>
    <sheet name="Profit by date line chart" sheetId="4" r:id="rId4"/>
    <sheet name="Per day average sales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3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</calcChain>
</file>

<file path=xl/sharedStrings.xml><?xml version="1.0" encoding="utf-8"?>
<sst xmlns="http://schemas.openxmlformats.org/spreadsheetml/2006/main" count="227" uniqueCount="27">
  <si>
    <t xml:space="preserve">Date </t>
  </si>
  <si>
    <t>Sales</t>
  </si>
  <si>
    <t>Expense</t>
  </si>
  <si>
    <t>Day</t>
  </si>
  <si>
    <t>Saturday</t>
  </si>
  <si>
    <t>Sunday</t>
  </si>
  <si>
    <t>Monday</t>
  </si>
  <si>
    <t>Tuesday</t>
  </si>
  <si>
    <t>Wednesday</t>
  </si>
  <si>
    <t>Thursday</t>
  </si>
  <si>
    <t>Friday</t>
  </si>
  <si>
    <t>(café closed)</t>
  </si>
  <si>
    <t>Comment</t>
  </si>
  <si>
    <t>(worker salary)</t>
  </si>
  <si>
    <t>(worker salary+rent)</t>
  </si>
  <si>
    <t>NA</t>
  </si>
  <si>
    <t>(data unavailable)</t>
  </si>
  <si>
    <t>Row Labels</t>
  </si>
  <si>
    <t>Grand Total</t>
  </si>
  <si>
    <t>Average of Sales</t>
  </si>
  <si>
    <t>Average of Profit</t>
  </si>
  <si>
    <t>Net Profit</t>
  </si>
  <si>
    <t>Raw material</t>
  </si>
  <si>
    <t>Delivery Boy</t>
  </si>
  <si>
    <t>Worker Salary</t>
  </si>
  <si>
    <t>Rent</t>
  </si>
  <si>
    <t>Google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</si>
</sst>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over</a:t>
            </a:r>
            <a:r>
              <a:rPr lang="en-IN" baseline="0"/>
              <a:t>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'Working data'!$A$2:$A$151</c:f>
              <c:numCache>
                <c:formatCode>m/d/yyyy</c:formatCode>
                <c:ptCount val="150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45717</c:v>
                </c:pt>
                <c:pt idx="29">
                  <c:v>45718</c:v>
                </c:pt>
                <c:pt idx="30">
                  <c:v>45719</c:v>
                </c:pt>
                <c:pt idx="31">
                  <c:v>45720</c:v>
                </c:pt>
                <c:pt idx="32">
                  <c:v>45721</c:v>
                </c:pt>
                <c:pt idx="33">
                  <c:v>45722</c:v>
                </c:pt>
                <c:pt idx="34">
                  <c:v>45723</c:v>
                </c:pt>
                <c:pt idx="35">
                  <c:v>45724</c:v>
                </c:pt>
                <c:pt idx="36">
                  <c:v>45725</c:v>
                </c:pt>
                <c:pt idx="37">
                  <c:v>45726</c:v>
                </c:pt>
                <c:pt idx="38">
                  <c:v>45727</c:v>
                </c:pt>
                <c:pt idx="39">
                  <c:v>45728</c:v>
                </c:pt>
                <c:pt idx="40">
                  <c:v>45729</c:v>
                </c:pt>
                <c:pt idx="41">
                  <c:v>45730</c:v>
                </c:pt>
                <c:pt idx="42">
                  <c:v>45731</c:v>
                </c:pt>
                <c:pt idx="43">
                  <c:v>45732</c:v>
                </c:pt>
                <c:pt idx="44">
                  <c:v>45733</c:v>
                </c:pt>
                <c:pt idx="45">
                  <c:v>45734</c:v>
                </c:pt>
                <c:pt idx="46">
                  <c:v>45735</c:v>
                </c:pt>
                <c:pt idx="47">
                  <c:v>45736</c:v>
                </c:pt>
                <c:pt idx="48">
                  <c:v>45737</c:v>
                </c:pt>
                <c:pt idx="49">
                  <c:v>45738</c:v>
                </c:pt>
                <c:pt idx="50">
                  <c:v>45739</c:v>
                </c:pt>
                <c:pt idx="51">
                  <c:v>45740</c:v>
                </c:pt>
                <c:pt idx="52">
                  <c:v>45741</c:v>
                </c:pt>
                <c:pt idx="53">
                  <c:v>45742</c:v>
                </c:pt>
                <c:pt idx="54">
                  <c:v>45743</c:v>
                </c:pt>
                <c:pt idx="55">
                  <c:v>45744</c:v>
                </c:pt>
                <c:pt idx="56">
                  <c:v>45745</c:v>
                </c:pt>
                <c:pt idx="57">
                  <c:v>45746</c:v>
                </c:pt>
                <c:pt idx="58">
                  <c:v>45747</c:v>
                </c:pt>
                <c:pt idx="59">
                  <c:v>45748</c:v>
                </c:pt>
                <c:pt idx="60">
                  <c:v>45749</c:v>
                </c:pt>
                <c:pt idx="61">
                  <c:v>45750</c:v>
                </c:pt>
                <c:pt idx="62">
                  <c:v>45751</c:v>
                </c:pt>
                <c:pt idx="63">
                  <c:v>45752</c:v>
                </c:pt>
                <c:pt idx="64">
                  <c:v>45753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45759</c:v>
                </c:pt>
                <c:pt idx="71">
                  <c:v>45760</c:v>
                </c:pt>
                <c:pt idx="72">
                  <c:v>45761</c:v>
                </c:pt>
                <c:pt idx="73">
                  <c:v>45762</c:v>
                </c:pt>
                <c:pt idx="74">
                  <c:v>45763</c:v>
                </c:pt>
                <c:pt idx="75">
                  <c:v>45764</c:v>
                </c:pt>
                <c:pt idx="76">
                  <c:v>45765</c:v>
                </c:pt>
                <c:pt idx="77">
                  <c:v>45766</c:v>
                </c:pt>
                <c:pt idx="78">
                  <c:v>45767</c:v>
                </c:pt>
                <c:pt idx="79">
                  <c:v>45768</c:v>
                </c:pt>
                <c:pt idx="80">
                  <c:v>45769</c:v>
                </c:pt>
                <c:pt idx="81">
                  <c:v>45770</c:v>
                </c:pt>
                <c:pt idx="82">
                  <c:v>45771</c:v>
                </c:pt>
                <c:pt idx="83">
                  <c:v>45772</c:v>
                </c:pt>
                <c:pt idx="84">
                  <c:v>45773</c:v>
                </c:pt>
                <c:pt idx="85">
                  <c:v>45774</c:v>
                </c:pt>
                <c:pt idx="86">
                  <c:v>45775</c:v>
                </c:pt>
                <c:pt idx="87">
                  <c:v>45776</c:v>
                </c:pt>
                <c:pt idx="88">
                  <c:v>45777</c:v>
                </c:pt>
                <c:pt idx="89">
                  <c:v>45778</c:v>
                </c:pt>
                <c:pt idx="90">
                  <c:v>45779</c:v>
                </c:pt>
                <c:pt idx="91">
                  <c:v>45780</c:v>
                </c:pt>
                <c:pt idx="92">
                  <c:v>45781</c:v>
                </c:pt>
                <c:pt idx="93">
                  <c:v>45782</c:v>
                </c:pt>
                <c:pt idx="94">
                  <c:v>45783</c:v>
                </c:pt>
                <c:pt idx="95">
                  <c:v>45784</c:v>
                </c:pt>
                <c:pt idx="96">
                  <c:v>45785</c:v>
                </c:pt>
                <c:pt idx="97">
                  <c:v>45786</c:v>
                </c:pt>
                <c:pt idx="98">
                  <c:v>45787</c:v>
                </c:pt>
                <c:pt idx="99">
                  <c:v>45788</c:v>
                </c:pt>
                <c:pt idx="100">
                  <c:v>45789</c:v>
                </c:pt>
                <c:pt idx="101">
                  <c:v>45790</c:v>
                </c:pt>
                <c:pt idx="102">
                  <c:v>45791</c:v>
                </c:pt>
                <c:pt idx="103">
                  <c:v>45792</c:v>
                </c:pt>
                <c:pt idx="104">
                  <c:v>45793</c:v>
                </c:pt>
                <c:pt idx="105">
                  <c:v>45794</c:v>
                </c:pt>
                <c:pt idx="106">
                  <c:v>45795</c:v>
                </c:pt>
                <c:pt idx="107">
                  <c:v>45796</c:v>
                </c:pt>
                <c:pt idx="108">
                  <c:v>45797</c:v>
                </c:pt>
                <c:pt idx="109">
                  <c:v>45798</c:v>
                </c:pt>
                <c:pt idx="110">
                  <c:v>45799</c:v>
                </c:pt>
                <c:pt idx="111">
                  <c:v>45800</c:v>
                </c:pt>
                <c:pt idx="112">
                  <c:v>45801</c:v>
                </c:pt>
                <c:pt idx="113">
                  <c:v>45802</c:v>
                </c:pt>
                <c:pt idx="114">
                  <c:v>45803</c:v>
                </c:pt>
                <c:pt idx="115">
                  <c:v>45804</c:v>
                </c:pt>
                <c:pt idx="116">
                  <c:v>45805</c:v>
                </c:pt>
                <c:pt idx="117">
                  <c:v>45806</c:v>
                </c:pt>
                <c:pt idx="118">
                  <c:v>45807</c:v>
                </c:pt>
                <c:pt idx="119">
                  <c:v>45808</c:v>
                </c:pt>
                <c:pt idx="120">
                  <c:v>45809</c:v>
                </c:pt>
                <c:pt idx="121">
                  <c:v>45810</c:v>
                </c:pt>
                <c:pt idx="122">
                  <c:v>45811</c:v>
                </c:pt>
                <c:pt idx="123">
                  <c:v>45812</c:v>
                </c:pt>
                <c:pt idx="124">
                  <c:v>45813</c:v>
                </c:pt>
                <c:pt idx="125">
                  <c:v>45814</c:v>
                </c:pt>
                <c:pt idx="126">
                  <c:v>45815</c:v>
                </c:pt>
                <c:pt idx="127">
                  <c:v>45816</c:v>
                </c:pt>
                <c:pt idx="128">
                  <c:v>45817</c:v>
                </c:pt>
                <c:pt idx="129">
                  <c:v>45818</c:v>
                </c:pt>
                <c:pt idx="130">
                  <c:v>45819</c:v>
                </c:pt>
                <c:pt idx="131">
                  <c:v>45820</c:v>
                </c:pt>
                <c:pt idx="132">
                  <c:v>45821</c:v>
                </c:pt>
                <c:pt idx="133">
                  <c:v>45822</c:v>
                </c:pt>
                <c:pt idx="134">
                  <c:v>45823</c:v>
                </c:pt>
                <c:pt idx="135">
                  <c:v>45824</c:v>
                </c:pt>
                <c:pt idx="136">
                  <c:v>45825</c:v>
                </c:pt>
                <c:pt idx="137">
                  <c:v>45826</c:v>
                </c:pt>
                <c:pt idx="138">
                  <c:v>45827</c:v>
                </c:pt>
                <c:pt idx="139">
                  <c:v>45828</c:v>
                </c:pt>
                <c:pt idx="140">
                  <c:v>45829</c:v>
                </c:pt>
                <c:pt idx="141">
                  <c:v>45830</c:v>
                </c:pt>
                <c:pt idx="142">
                  <c:v>45831</c:v>
                </c:pt>
                <c:pt idx="143">
                  <c:v>45832</c:v>
                </c:pt>
                <c:pt idx="144">
                  <c:v>45833</c:v>
                </c:pt>
                <c:pt idx="145">
                  <c:v>45834</c:v>
                </c:pt>
                <c:pt idx="146">
                  <c:v>45835</c:v>
                </c:pt>
                <c:pt idx="147">
                  <c:v>45836</c:v>
                </c:pt>
                <c:pt idx="148">
                  <c:v>45837</c:v>
                </c:pt>
                <c:pt idx="149">
                  <c:v>45838</c:v>
                </c:pt>
              </c:numCache>
            </c:numRef>
          </c:cat>
          <c:val>
            <c:numRef>
              <c:f>'Working data'!$C$2:$C$151</c:f>
              <c:numCache>
                <c:formatCode>General</c:formatCode>
                <c:ptCount val="150"/>
                <c:pt idx="0">
                  <c:v>770</c:v>
                </c:pt>
                <c:pt idx="1">
                  <c:v>3970</c:v>
                </c:pt>
                <c:pt idx="2">
                  <c:v>310</c:v>
                </c:pt>
                <c:pt idx="3">
                  <c:v>740</c:v>
                </c:pt>
                <c:pt idx="4">
                  <c:v>1250</c:v>
                </c:pt>
                <c:pt idx="5">
                  <c:v>1020</c:v>
                </c:pt>
                <c:pt idx="6">
                  <c:v>460</c:v>
                </c:pt>
                <c:pt idx="7">
                  <c:v>1290</c:v>
                </c:pt>
                <c:pt idx="8">
                  <c:v>270</c:v>
                </c:pt>
                <c:pt idx="9">
                  <c:v>0</c:v>
                </c:pt>
                <c:pt idx="10">
                  <c:v>1300</c:v>
                </c:pt>
                <c:pt idx="11">
                  <c:v>490</c:v>
                </c:pt>
                <c:pt idx="12">
                  <c:v>1620</c:v>
                </c:pt>
                <c:pt idx="13">
                  <c:v>210</c:v>
                </c:pt>
                <c:pt idx="14">
                  <c:v>910</c:v>
                </c:pt>
                <c:pt idx="15">
                  <c:v>2590</c:v>
                </c:pt>
                <c:pt idx="16">
                  <c:v>610</c:v>
                </c:pt>
                <c:pt idx="17">
                  <c:v>420</c:v>
                </c:pt>
                <c:pt idx="18">
                  <c:v>1200</c:v>
                </c:pt>
                <c:pt idx="19">
                  <c:v>200</c:v>
                </c:pt>
                <c:pt idx="20">
                  <c:v>410</c:v>
                </c:pt>
                <c:pt idx="21">
                  <c:v>380</c:v>
                </c:pt>
                <c:pt idx="22">
                  <c:v>190</c:v>
                </c:pt>
                <c:pt idx="23">
                  <c:v>1470</c:v>
                </c:pt>
                <c:pt idx="24">
                  <c:v>150</c:v>
                </c:pt>
                <c:pt idx="25">
                  <c:v>780</c:v>
                </c:pt>
                <c:pt idx="26">
                  <c:v>170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660</c:v>
                </c:pt>
                <c:pt idx="31">
                  <c:v>2360</c:v>
                </c:pt>
                <c:pt idx="32">
                  <c:v>1130</c:v>
                </c:pt>
                <c:pt idx="33">
                  <c:v>1660</c:v>
                </c:pt>
                <c:pt idx="34">
                  <c:v>2170</c:v>
                </c:pt>
                <c:pt idx="35">
                  <c:v>2830</c:v>
                </c:pt>
                <c:pt idx="36">
                  <c:v>1850</c:v>
                </c:pt>
                <c:pt idx="37">
                  <c:v>1640</c:v>
                </c:pt>
                <c:pt idx="38">
                  <c:v>6200</c:v>
                </c:pt>
                <c:pt idx="39">
                  <c:v>930</c:v>
                </c:pt>
                <c:pt idx="40">
                  <c:v>2860</c:v>
                </c:pt>
                <c:pt idx="41">
                  <c:v>0</c:v>
                </c:pt>
                <c:pt idx="42">
                  <c:v>3440</c:v>
                </c:pt>
                <c:pt idx="43">
                  <c:v>1440</c:v>
                </c:pt>
                <c:pt idx="44">
                  <c:v>2220</c:v>
                </c:pt>
                <c:pt idx="45">
                  <c:v>2770</c:v>
                </c:pt>
                <c:pt idx="46">
                  <c:v>1240</c:v>
                </c:pt>
                <c:pt idx="47">
                  <c:v>1070</c:v>
                </c:pt>
                <c:pt idx="48">
                  <c:v>2430</c:v>
                </c:pt>
                <c:pt idx="49">
                  <c:v>3970</c:v>
                </c:pt>
                <c:pt idx="50">
                  <c:v>1030</c:v>
                </c:pt>
                <c:pt idx="51">
                  <c:v>2390</c:v>
                </c:pt>
                <c:pt idx="52">
                  <c:v>1510</c:v>
                </c:pt>
                <c:pt idx="53">
                  <c:v>1690</c:v>
                </c:pt>
                <c:pt idx="54">
                  <c:v>2320</c:v>
                </c:pt>
                <c:pt idx="55">
                  <c:v>3050</c:v>
                </c:pt>
                <c:pt idx="56">
                  <c:v>2800</c:v>
                </c:pt>
                <c:pt idx="57">
                  <c:v>1160</c:v>
                </c:pt>
                <c:pt idx="58">
                  <c:v>1820</c:v>
                </c:pt>
                <c:pt idx="59">
                  <c:v>1620</c:v>
                </c:pt>
                <c:pt idx="60">
                  <c:v>1490</c:v>
                </c:pt>
                <c:pt idx="61">
                  <c:v>740</c:v>
                </c:pt>
                <c:pt idx="62">
                  <c:v>1560</c:v>
                </c:pt>
                <c:pt idx="63">
                  <c:v>3905</c:v>
                </c:pt>
                <c:pt idx="64">
                  <c:v>1470</c:v>
                </c:pt>
                <c:pt idx="65">
                  <c:v>1650</c:v>
                </c:pt>
                <c:pt idx="66">
                  <c:v>690</c:v>
                </c:pt>
                <c:pt idx="67">
                  <c:v>1590</c:v>
                </c:pt>
                <c:pt idx="68">
                  <c:v>730</c:v>
                </c:pt>
                <c:pt idx="69">
                  <c:v>960</c:v>
                </c:pt>
                <c:pt idx="70">
                  <c:v>1000</c:v>
                </c:pt>
                <c:pt idx="71">
                  <c:v>1364</c:v>
                </c:pt>
                <c:pt idx="72">
                  <c:v>2620</c:v>
                </c:pt>
                <c:pt idx="73">
                  <c:v>2780</c:v>
                </c:pt>
                <c:pt idx="74">
                  <c:v>1400</c:v>
                </c:pt>
                <c:pt idx="75">
                  <c:v>1710</c:v>
                </c:pt>
                <c:pt idx="76">
                  <c:v>1330</c:v>
                </c:pt>
                <c:pt idx="77">
                  <c:v>1310</c:v>
                </c:pt>
                <c:pt idx="78">
                  <c:v>2330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1780</c:v>
                </c:pt>
                <c:pt idx="92">
                  <c:v>1210</c:v>
                </c:pt>
                <c:pt idx="93">
                  <c:v>1230</c:v>
                </c:pt>
                <c:pt idx="94">
                  <c:v>2060</c:v>
                </c:pt>
                <c:pt idx="95">
                  <c:v>780</c:v>
                </c:pt>
                <c:pt idx="96">
                  <c:v>1140</c:v>
                </c:pt>
                <c:pt idx="97">
                  <c:v>450</c:v>
                </c:pt>
                <c:pt idx="98">
                  <c:v>800</c:v>
                </c:pt>
                <c:pt idx="99">
                  <c:v>3100</c:v>
                </c:pt>
                <c:pt idx="100">
                  <c:v>1040</c:v>
                </c:pt>
                <c:pt idx="101">
                  <c:v>1055</c:v>
                </c:pt>
                <c:pt idx="102">
                  <c:v>4210</c:v>
                </c:pt>
                <c:pt idx="103">
                  <c:v>1260</c:v>
                </c:pt>
                <c:pt idx="104">
                  <c:v>1160</c:v>
                </c:pt>
                <c:pt idx="105">
                  <c:v>1900</c:v>
                </c:pt>
                <c:pt idx="106">
                  <c:v>2900</c:v>
                </c:pt>
                <c:pt idx="107">
                  <c:v>510</c:v>
                </c:pt>
                <c:pt idx="108">
                  <c:v>860</c:v>
                </c:pt>
                <c:pt idx="109">
                  <c:v>1740</c:v>
                </c:pt>
                <c:pt idx="110">
                  <c:v>1240</c:v>
                </c:pt>
                <c:pt idx="111">
                  <c:v>1190</c:v>
                </c:pt>
                <c:pt idx="112">
                  <c:v>1283</c:v>
                </c:pt>
                <c:pt idx="113">
                  <c:v>1005</c:v>
                </c:pt>
                <c:pt idx="114">
                  <c:v>1100</c:v>
                </c:pt>
                <c:pt idx="115">
                  <c:v>1570</c:v>
                </c:pt>
                <c:pt idx="116">
                  <c:v>940</c:v>
                </c:pt>
                <c:pt idx="117">
                  <c:v>1550</c:v>
                </c:pt>
                <c:pt idx="118">
                  <c:v>1330</c:v>
                </c:pt>
                <c:pt idx="119">
                  <c:v>2250</c:v>
                </c:pt>
                <c:pt idx="120">
                  <c:v>1090</c:v>
                </c:pt>
                <c:pt idx="121">
                  <c:v>990</c:v>
                </c:pt>
                <c:pt idx="122">
                  <c:v>780</c:v>
                </c:pt>
                <c:pt idx="123">
                  <c:v>910</c:v>
                </c:pt>
                <c:pt idx="124">
                  <c:v>1010</c:v>
                </c:pt>
                <c:pt idx="125">
                  <c:v>1130</c:v>
                </c:pt>
                <c:pt idx="126">
                  <c:v>1790</c:v>
                </c:pt>
                <c:pt idx="127">
                  <c:v>2090</c:v>
                </c:pt>
                <c:pt idx="128">
                  <c:v>620</c:v>
                </c:pt>
                <c:pt idx="129">
                  <c:v>1800</c:v>
                </c:pt>
                <c:pt idx="130">
                  <c:v>890</c:v>
                </c:pt>
                <c:pt idx="131">
                  <c:v>1490</c:v>
                </c:pt>
                <c:pt idx="132">
                  <c:v>1820</c:v>
                </c:pt>
                <c:pt idx="133">
                  <c:v>1650</c:v>
                </c:pt>
                <c:pt idx="134">
                  <c:v>1900</c:v>
                </c:pt>
                <c:pt idx="135">
                  <c:v>2100</c:v>
                </c:pt>
                <c:pt idx="136">
                  <c:v>1105</c:v>
                </c:pt>
                <c:pt idx="137">
                  <c:v>1300</c:v>
                </c:pt>
                <c:pt idx="138">
                  <c:v>980</c:v>
                </c:pt>
                <c:pt idx="139">
                  <c:v>450</c:v>
                </c:pt>
                <c:pt idx="140">
                  <c:v>1310</c:v>
                </c:pt>
                <c:pt idx="141">
                  <c:v>530</c:v>
                </c:pt>
                <c:pt idx="142">
                  <c:v>600</c:v>
                </c:pt>
                <c:pt idx="143">
                  <c:v>1710</c:v>
                </c:pt>
                <c:pt idx="144">
                  <c:v>690</c:v>
                </c:pt>
                <c:pt idx="145">
                  <c:v>1390</c:v>
                </c:pt>
                <c:pt idx="146">
                  <c:v>3680</c:v>
                </c:pt>
                <c:pt idx="147">
                  <c:v>350</c:v>
                </c:pt>
                <c:pt idx="148">
                  <c:v>1080</c:v>
                </c:pt>
                <c:pt idx="149">
                  <c:v>2320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7-4CDA-B6F5-91FE9F3B7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832127"/>
        <c:axId val="313824927"/>
      </c:lineChart>
      <c:dateAx>
        <c:axId val="3138321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24927"/>
        <c:crosses val="autoZero"/>
        <c:auto val="1"/>
        <c:lblOffset val="100"/>
        <c:baseTimeUnit val="days"/>
      </c:dateAx>
      <c:valAx>
        <c:axId val="31382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3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data'!$D$1</c:f>
              <c:strCache>
                <c:ptCount val="1"/>
                <c:pt idx="0">
                  <c:v>Expense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'Working data'!$A$2:$A$151</c:f>
              <c:numCache>
                <c:formatCode>m/d/yyyy</c:formatCode>
                <c:ptCount val="150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45717</c:v>
                </c:pt>
                <c:pt idx="29">
                  <c:v>45718</c:v>
                </c:pt>
                <c:pt idx="30">
                  <c:v>45719</c:v>
                </c:pt>
                <c:pt idx="31">
                  <c:v>45720</c:v>
                </c:pt>
                <c:pt idx="32">
                  <c:v>45721</c:v>
                </c:pt>
                <c:pt idx="33">
                  <c:v>45722</c:v>
                </c:pt>
                <c:pt idx="34">
                  <c:v>45723</c:v>
                </c:pt>
                <c:pt idx="35">
                  <c:v>45724</c:v>
                </c:pt>
                <c:pt idx="36">
                  <c:v>45725</c:v>
                </c:pt>
                <c:pt idx="37">
                  <c:v>45726</c:v>
                </c:pt>
                <c:pt idx="38">
                  <c:v>45727</c:v>
                </c:pt>
                <c:pt idx="39">
                  <c:v>45728</c:v>
                </c:pt>
                <c:pt idx="40">
                  <c:v>45729</c:v>
                </c:pt>
                <c:pt idx="41">
                  <c:v>45730</c:v>
                </c:pt>
                <c:pt idx="42">
                  <c:v>45731</c:v>
                </c:pt>
                <c:pt idx="43">
                  <c:v>45732</c:v>
                </c:pt>
                <c:pt idx="44">
                  <c:v>45733</c:v>
                </c:pt>
                <c:pt idx="45">
                  <c:v>45734</c:v>
                </c:pt>
                <c:pt idx="46">
                  <c:v>45735</c:v>
                </c:pt>
                <c:pt idx="47">
                  <c:v>45736</c:v>
                </c:pt>
                <c:pt idx="48">
                  <c:v>45737</c:v>
                </c:pt>
                <c:pt idx="49">
                  <c:v>45738</c:v>
                </c:pt>
                <c:pt idx="50">
                  <c:v>45739</c:v>
                </c:pt>
                <c:pt idx="51">
                  <c:v>45740</c:v>
                </c:pt>
                <c:pt idx="52">
                  <c:v>45741</c:v>
                </c:pt>
                <c:pt idx="53">
                  <c:v>45742</c:v>
                </c:pt>
                <c:pt idx="54">
                  <c:v>45743</c:v>
                </c:pt>
                <c:pt idx="55">
                  <c:v>45744</c:v>
                </c:pt>
                <c:pt idx="56">
                  <c:v>45745</c:v>
                </c:pt>
                <c:pt idx="57">
                  <c:v>45746</c:v>
                </c:pt>
                <c:pt idx="58">
                  <c:v>45747</c:v>
                </c:pt>
                <c:pt idx="59">
                  <c:v>45748</c:v>
                </c:pt>
                <c:pt idx="60">
                  <c:v>45749</c:v>
                </c:pt>
                <c:pt idx="61">
                  <c:v>45750</c:v>
                </c:pt>
                <c:pt idx="62">
                  <c:v>45751</c:v>
                </c:pt>
                <c:pt idx="63">
                  <c:v>45752</c:v>
                </c:pt>
                <c:pt idx="64">
                  <c:v>45753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45759</c:v>
                </c:pt>
                <c:pt idx="71">
                  <c:v>45760</c:v>
                </c:pt>
                <c:pt idx="72">
                  <c:v>45761</c:v>
                </c:pt>
                <c:pt idx="73">
                  <c:v>45762</c:v>
                </c:pt>
                <c:pt idx="74">
                  <c:v>45763</c:v>
                </c:pt>
                <c:pt idx="75">
                  <c:v>45764</c:v>
                </c:pt>
                <c:pt idx="76">
                  <c:v>45765</c:v>
                </c:pt>
                <c:pt idx="77">
                  <c:v>45766</c:v>
                </c:pt>
                <c:pt idx="78">
                  <c:v>45767</c:v>
                </c:pt>
                <c:pt idx="79">
                  <c:v>45768</c:v>
                </c:pt>
                <c:pt idx="80">
                  <c:v>45769</c:v>
                </c:pt>
                <c:pt idx="81">
                  <c:v>45770</c:v>
                </c:pt>
                <c:pt idx="82">
                  <c:v>45771</c:v>
                </c:pt>
                <c:pt idx="83">
                  <c:v>45772</c:v>
                </c:pt>
                <c:pt idx="84">
                  <c:v>45773</c:v>
                </c:pt>
                <c:pt idx="85">
                  <c:v>45774</c:v>
                </c:pt>
                <c:pt idx="86">
                  <c:v>45775</c:v>
                </c:pt>
                <c:pt idx="87">
                  <c:v>45776</c:v>
                </c:pt>
                <c:pt idx="88">
                  <c:v>45777</c:v>
                </c:pt>
                <c:pt idx="89">
                  <c:v>45778</c:v>
                </c:pt>
                <c:pt idx="90">
                  <c:v>45779</c:v>
                </c:pt>
                <c:pt idx="91">
                  <c:v>45780</c:v>
                </c:pt>
                <c:pt idx="92">
                  <c:v>45781</c:v>
                </c:pt>
                <c:pt idx="93">
                  <c:v>45782</c:v>
                </c:pt>
                <c:pt idx="94">
                  <c:v>45783</c:v>
                </c:pt>
                <c:pt idx="95">
                  <c:v>45784</c:v>
                </c:pt>
                <c:pt idx="96">
                  <c:v>45785</c:v>
                </c:pt>
                <c:pt idx="97">
                  <c:v>45786</c:v>
                </c:pt>
                <c:pt idx="98">
                  <c:v>45787</c:v>
                </c:pt>
                <c:pt idx="99">
                  <c:v>45788</c:v>
                </c:pt>
                <c:pt idx="100">
                  <c:v>45789</c:v>
                </c:pt>
                <c:pt idx="101">
                  <c:v>45790</c:v>
                </c:pt>
                <c:pt idx="102">
                  <c:v>45791</c:v>
                </c:pt>
                <c:pt idx="103">
                  <c:v>45792</c:v>
                </c:pt>
                <c:pt idx="104">
                  <c:v>45793</c:v>
                </c:pt>
                <c:pt idx="105">
                  <c:v>45794</c:v>
                </c:pt>
                <c:pt idx="106">
                  <c:v>45795</c:v>
                </c:pt>
                <c:pt idx="107">
                  <c:v>45796</c:v>
                </c:pt>
                <c:pt idx="108">
                  <c:v>45797</c:v>
                </c:pt>
                <c:pt idx="109">
                  <c:v>45798</c:v>
                </c:pt>
                <c:pt idx="110">
                  <c:v>45799</c:v>
                </c:pt>
                <c:pt idx="111">
                  <c:v>45800</c:v>
                </c:pt>
                <c:pt idx="112">
                  <c:v>45801</c:v>
                </c:pt>
                <c:pt idx="113">
                  <c:v>45802</c:v>
                </c:pt>
                <c:pt idx="114">
                  <c:v>45803</c:v>
                </c:pt>
                <c:pt idx="115">
                  <c:v>45804</c:v>
                </c:pt>
                <c:pt idx="116">
                  <c:v>45805</c:v>
                </c:pt>
                <c:pt idx="117">
                  <c:v>45806</c:v>
                </c:pt>
                <c:pt idx="118">
                  <c:v>45807</c:v>
                </c:pt>
                <c:pt idx="119">
                  <c:v>45808</c:v>
                </c:pt>
                <c:pt idx="120">
                  <c:v>45809</c:v>
                </c:pt>
                <c:pt idx="121">
                  <c:v>45810</c:v>
                </c:pt>
                <c:pt idx="122">
                  <c:v>45811</c:v>
                </c:pt>
                <c:pt idx="123">
                  <c:v>45812</c:v>
                </c:pt>
                <c:pt idx="124">
                  <c:v>45813</c:v>
                </c:pt>
                <c:pt idx="125">
                  <c:v>45814</c:v>
                </c:pt>
                <c:pt idx="126">
                  <c:v>45815</c:v>
                </c:pt>
                <c:pt idx="127">
                  <c:v>45816</c:v>
                </c:pt>
                <c:pt idx="128">
                  <c:v>45817</c:v>
                </c:pt>
                <c:pt idx="129">
                  <c:v>45818</c:v>
                </c:pt>
                <c:pt idx="130">
                  <c:v>45819</c:v>
                </c:pt>
                <c:pt idx="131">
                  <c:v>45820</c:v>
                </c:pt>
                <c:pt idx="132">
                  <c:v>45821</c:v>
                </c:pt>
                <c:pt idx="133">
                  <c:v>45822</c:v>
                </c:pt>
                <c:pt idx="134">
                  <c:v>45823</c:v>
                </c:pt>
                <c:pt idx="135">
                  <c:v>45824</c:v>
                </c:pt>
                <c:pt idx="136">
                  <c:v>45825</c:v>
                </c:pt>
                <c:pt idx="137">
                  <c:v>45826</c:v>
                </c:pt>
                <c:pt idx="138">
                  <c:v>45827</c:v>
                </c:pt>
                <c:pt idx="139">
                  <c:v>45828</c:v>
                </c:pt>
                <c:pt idx="140">
                  <c:v>45829</c:v>
                </c:pt>
                <c:pt idx="141">
                  <c:v>45830</c:v>
                </c:pt>
                <c:pt idx="142">
                  <c:v>45831</c:v>
                </c:pt>
                <c:pt idx="143">
                  <c:v>45832</c:v>
                </c:pt>
                <c:pt idx="144">
                  <c:v>45833</c:v>
                </c:pt>
                <c:pt idx="145">
                  <c:v>45834</c:v>
                </c:pt>
                <c:pt idx="146">
                  <c:v>45835</c:v>
                </c:pt>
                <c:pt idx="147">
                  <c:v>45836</c:v>
                </c:pt>
                <c:pt idx="148">
                  <c:v>45837</c:v>
                </c:pt>
                <c:pt idx="149">
                  <c:v>45838</c:v>
                </c:pt>
              </c:numCache>
            </c:numRef>
          </c:cat>
          <c:val>
            <c:numRef>
              <c:f>'Working data'!$D$2:$D$151</c:f>
              <c:numCache>
                <c:formatCode>General</c:formatCode>
                <c:ptCount val="150"/>
                <c:pt idx="0">
                  <c:v>525</c:v>
                </c:pt>
                <c:pt idx="1">
                  <c:v>1338</c:v>
                </c:pt>
                <c:pt idx="2">
                  <c:v>50</c:v>
                </c:pt>
                <c:pt idx="3">
                  <c:v>156</c:v>
                </c:pt>
                <c:pt idx="4">
                  <c:v>147</c:v>
                </c:pt>
                <c:pt idx="5">
                  <c:v>15842</c:v>
                </c:pt>
                <c:pt idx="6">
                  <c:v>50</c:v>
                </c:pt>
                <c:pt idx="7">
                  <c:v>1526</c:v>
                </c:pt>
                <c:pt idx="8">
                  <c:v>90</c:v>
                </c:pt>
                <c:pt idx="9">
                  <c:v>0</c:v>
                </c:pt>
                <c:pt idx="10">
                  <c:v>368</c:v>
                </c:pt>
                <c:pt idx="11">
                  <c:v>330</c:v>
                </c:pt>
                <c:pt idx="12">
                  <c:v>246</c:v>
                </c:pt>
                <c:pt idx="13">
                  <c:v>427</c:v>
                </c:pt>
                <c:pt idx="14">
                  <c:v>556</c:v>
                </c:pt>
                <c:pt idx="15">
                  <c:v>210</c:v>
                </c:pt>
                <c:pt idx="16">
                  <c:v>853</c:v>
                </c:pt>
                <c:pt idx="17">
                  <c:v>1379</c:v>
                </c:pt>
                <c:pt idx="18">
                  <c:v>916</c:v>
                </c:pt>
                <c:pt idx="19">
                  <c:v>81</c:v>
                </c:pt>
                <c:pt idx="20">
                  <c:v>20</c:v>
                </c:pt>
                <c:pt idx="21">
                  <c:v>80</c:v>
                </c:pt>
                <c:pt idx="22">
                  <c:v>0</c:v>
                </c:pt>
                <c:pt idx="23">
                  <c:v>96</c:v>
                </c:pt>
                <c:pt idx="24">
                  <c:v>105</c:v>
                </c:pt>
                <c:pt idx="25">
                  <c:v>110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396</c:v>
                </c:pt>
                <c:pt idx="31">
                  <c:v>218</c:v>
                </c:pt>
                <c:pt idx="32">
                  <c:v>0</c:v>
                </c:pt>
                <c:pt idx="33">
                  <c:v>162</c:v>
                </c:pt>
                <c:pt idx="34">
                  <c:v>1572</c:v>
                </c:pt>
                <c:pt idx="35">
                  <c:v>1416</c:v>
                </c:pt>
                <c:pt idx="36">
                  <c:v>1175</c:v>
                </c:pt>
                <c:pt idx="37">
                  <c:v>50</c:v>
                </c:pt>
                <c:pt idx="38">
                  <c:v>1591</c:v>
                </c:pt>
                <c:pt idx="39">
                  <c:v>590</c:v>
                </c:pt>
                <c:pt idx="40">
                  <c:v>287</c:v>
                </c:pt>
                <c:pt idx="41">
                  <c:v>0</c:v>
                </c:pt>
                <c:pt idx="42">
                  <c:v>3800</c:v>
                </c:pt>
                <c:pt idx="43">
                  <c:v>134</c:v>
                </c:pt>
                <c:pt idx="44">
                  <c:v>877</c:v>
                </c:pt>
                <c:pt idx="45">
                  <c:v>480</c:v>
                </c:pt>
                <c:pt idx="46">
                  <c:v>970</c:v>
                </c:pt>
                <c:pt idx="47">
                  <c:v>1654</c:v>
                </c:pt>
                <c:pt idx="48">
                  <c:v>824</c:v>
                </c:pt>
                <c:pt idx="49">
                  <c:v>977</c:v>
                </c:pt>
                <c:pt idx="50">
                  <c:v>1000</c:v>
                </c:pt>
                <c:pt idx="51">
                  <c:v>150</c:v>
                </c:pt>
                <c:pt idx="52">
                  <c:v>770</c:v>
                </c:pt>
                <c:pt idx="53">
                  <c:v>7740</c:v>
                </c:pt>
                <c:pt idx="54">
                  <c:v>370</c:v>
                </c:pt>
                <c:pt idx="55">
                  <c:v>590</c:v>
                </c:pt>
                <c:pt idx="56">
                  <c:v>313</c:v>
                </c:pt>
                <c:pt idx="57">
                  <c:v>156</c:v>
                </c:pt>
                <c:pt idx="58">
                  <c:v>246</c:v>
                </c:pt>
                <c:pt idx="59">
                  <c:v>992</c:v>
                </c:pt>
                <c:pt idx="60">
                  <c:v>50</c:v>
                </c:pt>
                <c:pt idx="61">
                  <c:v>900</c:v>
                </c:pt>
                <c:pt idx="62">
                  <c:v>744</c:v>
                </c:pt>
                <c:pt idx="63">
                  <c:v>27267</c:v>
                </c:pt>
                <c:pt idx="64">
                  <c:v>1705</c:v>
                </c:pt>
                <c:pt idx="65">
                  <c:v>2074</c:v>
                </c:pt>
                <c:pt idx="66">
                  <c:v>165</c:v>
                </c:pt>
                <c:pt idx="67">
                  <c:v>3005</c:v>
                </c:pt>
                <c:pt idx="68">
                  <c:v>80</c:v>
                </c:pt>
                <c:pt idx="69">
                  <c:v>1684</c:v>
                </c:pt>
                <c:pt idx="70">
                  <c:v>850</c:v>
                </c:pt>
                <c:pt idx="71">
                  <c:v>116</c:v>
                </c:pt>
                <c:pt idx="72">
                  <c:v>156</c:v>
                </c:pt>
                <c:pt idx="73">
                  <c:v>2930</c:v>
                </c:pt>
                <c:pt idx="74">
                  <c:v>615</c:v>
                </c:pt>
                <c:pt idx="75">
                  <c:v>55</c:v>
                </c:pt>
                <c:pt idx="76">
                  <c:v>564</c:v>
                </c:pt>
                <c:pt idx="77">
                  <c:v>250</c:v>
                </c:pt>
                <c:pt idx="78">
                  <c:v>3259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553</c:v>
                </c:pt>
                <c:pt idx="92">
                  <c:v>766</c:v>
                </c:pt>
                <c:pt idx="93">
                  <c:v>19070</c:v>
                </c:pt>
                <c:pt idx="94">
                  <c:v>86</c:v>
                </c:pt>
                <c:pt idx="95">
                  <c:v>25</c:v>
                </c:pt>
                <c:pt idx="96">
                  <c:v>5283</c:v>
                </c:pt>
                <c:pt idx="97">
                  <c:v>425</c:v>
                </c:pt>
                <c:pt idx="98">
                  <c:v>50</c:v>
                </c:pt>
                <c:pt idx="99">
                  <c:v>236</c:v>
                </c:pt>
                <c:pt idx="100">
                  <c:v>3050</c:v>
                </c:pt>
                <c:pt idx="101">
                  <c:v>556</c:v>
                </c:pt>
                <c:pt idx="102">
                  <c:v>3190</c:v>
                </c:pt>
                <c:pt idx="103">
                  <c:v>581</c:v>
                </c:pt>
                <c:pt idx="104">
                  <c:v>335</c:v>
                </c:pt>
                <c:pt idx="105">
                  <c:v>281</c:v>
                </c:pt>
                <c:pt idx="106">
                  <c:v>1711</c:v>
                </c:pt>
                <c:pt idx="107">
                  <c:v>1990</c:v>
                </c:pt>
                <c:pt idx="108">
                  <c:v>7889</c:v>
                </c:pt>
                <c:pt idx="109">
                  <c:v>146</c:v>
                </c:pt>
                <c:pt idx="110">
                  <c:v>136</c:v>
                </c:pt>
                <c:pt idx="111">
                  <c:v>140</c:v>
                </c:pt>
                <c:pt idx="112">
                  <c:v>913</c:v>
                </c:pt>
                <c:pt idx="113">
                  <c:v>86</c:v>
                </c:pt>
                <c:pt idx="114">
                  <c:v>555</c:v>
                </c:pt>
                <c:pt idx="115">
                  <c:v>55</c:v>
                </c:pt>
                <c:pt idx="116">
                  <c:v>227</c:v>
                </c:pt>
                <c:pt idx="117">
                  <c:v>615</c:v>
                </c:pt>
                <c:pt idx="118">
                  <c:v>133</c:v>
                </c:pt>
                <c:pt idx="119">
                  <c:v>488</c:v>
                </c:pt>
                <c:pt idx="120">
                  <c:v>50</c:v>
                </c:pt>
                <c:pt idx="121">
                  <c:v>336</c:v>
                </c:pt>
                <c:pt idx="122">
                  <c:v>512</c:v>
                </c:pt>
                <c:pt idx="123">
                  <c:v>185</c:v>
                </c:pt>
                <c:pt idx="124">
                  <c:v>466</c:v>
                </c:pt>
                <c:pt idx="125">
                  <c:v>107</c:v>
                </c:pt>
                <c:pt idx="126">
                  <c:v>50</c:v>
                </c:pt>
                <c:pt idx="127">
                  <c:v>181</c:v>
                </c:pt>
                <c:pt idx="128">
                  <c:v>162</c:v>
                </c:pt>
                <c:pt idx="129">
                  <c:v>16517</c:v>
                </c:pt>
                <c:pt idx="130">
                  <c:v>3790</c:v>
                </c:pt>
                <c:pt idx="131">
                  <c:v>351</c:v>
                </c:pt>
                <c:pt idx="132">
                  <c:v>4100</c:v>
                </c:pt>
                <c:pt idx="133">
                  <c:v>512</c:v>
                </c:pt>
                <c:pt idx="134">
                  <c:v>141</c:v>
                </c:pt>
                <c:pt idx="135">
                  <c:v>211</c:v>
                </c:pt>
                <c:pt idx="136">
                  <c:v>900</c:v>
                </c:pt>
                <c:pt idx="137">
                  <c:v>276</c:v>
                </c:pt>
                <c:pt idx="138">
                  <c:v>312</c:v>
                </c:pt>
                <c:pt idx="139">
                  <c:v>162</c:v>
                </c:pt>
                <c:pt idx="140">
                  <c:v>556</c:v>
                </c:pt>
                <c:pt idx="141">
                  <c:v>10400</c:v>
                </c:pt>
                <c:pt idx="142">
                  <c:v>0</c:v>
                </c:pt>
                <c:pt idx="143">
                  <c:v>612</c:v>
                </c:pt>
                <c:pt idx="144">
                  <c:v>0</c:v>
                </c:pt>
                <c:pt idx="145">
                  <c:v>367</c:v>
                </c:pt>
                <c:pt idx="146">
                  <c:v>190</c:v>
                </c:pt>
                <c:pt idx="147">
                  <c:v>0</c:v>
                </c:pt>
                <c:pt idx="148">
                  <c:v>464</c:v>
                </c:pt>
                <c:pt idx="14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4-4E8F-AB59-92AC3986C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092191"/>
        <c:axId val="697084031"/>
      </c:lineChart>
      <c:dateAx>
        <c:axId val="697092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4031"/>
        <c:crosses val="autoZero"/>
        <c:auto val="1"/>
        <c:lblOffset val="100"/>
        <c:baseTimeUnit val="days"/>
      </c:dateAx>
      <c:valAx>
        <c:axId val="6970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</a:t>
            </a:r>
            <a:r>
              <a:rPr lang="en-US" baseline="0"/>
              <a:t>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data'!$E$1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'Working data'!$A$2:$A$151</c:f>
              <c:numCache>
                <c:formatCode>m/d/yyyy</c:formatCode>
                <c:ptCount val="150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45717</c:v>
                </c:pt>
                <c:pt idx="29">
                  <c:v>45718</c:v>
                </c:pt>
                <c:pt idx="30">
                  <c:v>45719</c:v>
                </c:pt>
                <c:pt idx="31">
                  <c:v>45720</c:v>
                </c:pt>
                <c:pt idx="32">
                  <c:v>45721</c:v>
                </c:pt>
                <c:pt idx="33">
                  <c:v>45722</c:v>
                </c:pt>
                <c:pt idx="34">
                  <c:v>45723</c:v>
                </c:pt>
                <c:pt idx="35">
                  <c:v>45724</c:v>
                </c:pt>
                <c:pt idx="36">
                  <c:v>45725</c:v>
                </c:pt>
                <c:pt idx="37">
                  <c:v>45726</c:v>
                </c:pt>
                <c:pt idx="38">
                  <c:v>45727</c:v>
                </c:pt>
                <c:pt idx="39">
                  <c:v>45728</c:v>
                </c:pt>
                <c:pt idx="40">
                  <c:v>45729</c:v>
                </c:pt>
                <c:pt idx="41">
                  <c:v>45730</c:v>
                </c:pt>
                <c:pt idx="42">
                  <c:v>45731</c:v>
                </c:pt>
                <c:pt idx="43">
                  <c:v>45732</c:v>
                </c:pt>
                <c:pt idx="44">
                  <c:v>45733</c:v>
                </c:pt>
                <c:pt idx="45">
                  <c:v>45734</c:v>
                </c:pt>
                <c:pt idx="46">
                  <c:v>45735</c:v>
                </c:pt>
                <c:pt idx="47">
                  <c:v>45736</c:v>
                </c:pt>
                <c:pt idx="48">
                  <c:v>45737</c:v>
                </c:pt>
                <c:pt idx="49">
                  <c:v>45738</c:v>
                </c:pt>
                <c:pt idx="50">
                  <c:v>45739</c:v>
                </c:pt>
                <c:pt idx="51">
                  <c:v>45740</c:v>
                </c:pt>
                <c:pt idx="52">
                  <c:v>45741</c:v>
                </c:pt>
                <c:pt idx="53">
                  <c:v>45742</c:v>
                </c:pt>
                <c:pt idx="54">
                  <c:v>45743</c:v>
                </c:pt>
                <c:pt idx="55">
                  <c:v>45744</c:v>
                </c:pt>
                <c:pt idx="56">
                  <c:v>45745</c:v>
                </c:pt>
                <c:pt idx="57">
                  <c:v>45746</c:v>
                </c:pt>
                <c:pt idx="58">
                  <c:v>45747</c:v>
                </c:pt>
                <c:pt idx="59">
                  <c:v>45748</c:v>
                </c:pt>
                <c:pt idx="60">
                  <c:v>45749</c:v>
                </c:pt>
                <c:pt idx="61">
                  <c:v>45750</c:v>
                </c:pt>
                <c:pt idx="62">
                  <c:v>45751</c:v>
                </c:pt>
                <c:pt idx="63">
                  <c:v>45752</c:v>
                </c:pt>
                <c:pt idx="64">
                  <c:v>45753</c:v>
                </c:pt>
                <c:pt idx="65">
                  <c:v>45754</c:v>
                </c:pt>
                <c:pt idx="66">
                  <c:v>45755</c:v>
                </c:pt>
                <c:pt idx="67">
                  <c:v>45756</c:v>
                </c:pt>
                <c:pt idx="68">
                  <c:v>45757</c:v>
                </c:pt>
                <c:pt idx="69">
                  <c:v>45758</c:v>
                </c:pt>
                <c:pt idx="70">
                  <c:v>45759</c:v>
                </c:pt>
                <c:pt idx="71">
                  <c:v>45760</c:v>
                </c:pt>
                <c:pt idx="72">
                  <c:v>45761</c:v>
                </c:pt>
                <c:pt idx="73">
                  <c:v>45762</c:v>
                </c:pt>
                <c:pt idx="74">
                  <c:v>45763</c:v>
                </c:pt>
                <c:pt idx="75">
                  <c:v>45764</c:v>
                </c:pt>
                <c:pt idx="76">
                  <c:v>45765</c:v>
                </c:pt>
                <c:pt idx="77">
                  <c:v>45766</c:v>
                </c:pt>
                <c:pt idx="78">
                  <c:v>45767</c:v>
                </c:pt>
                <c:pt idx="79">
                  <c:v>45768</c:v>
                </c:pt>
                <c:pt idx="80">
                  <c:v>45769</c:v>
                </c:pt>
                <c:pt idx="81">
                  <c:v>45770</c:v>
                </c:pt>
                <c:pt idx="82">
                  <c:v>45771</c:v>
                </c:pt>
                <c:pt idx="83">
                  <c:v>45772</c:v>
                </c:pt>
                <c:pt idx="84">
                  <c:v>45773</c:v>
                </c:pt>
                <c:pt idx="85">
                  <c:v>45774</c:v>
                </c:pt>
                <c:pt idx="86">
                  <c:v>45775</c:v>
                </c:pt>
                <c:pt idx="87">
                  <c:v>45776</c:v>
                </c:pt>
                <c:pt idx="88">
                  <c:v>45777</c:v>
                </c:pt>
                <c:pt idx="89">
                  <c:v>45778</c:v>
                </c:pt>
                <c:pt idx="90">
                  <c:v>45779</c:v>
                </c:pt>
                <c:pt idx="91">
                  <c:v>45780</c:v>
                </c:pt>
                <c:pt idx="92">
                  <c:v>45781</c:v>
                </c:pt>
                <c:pt idx="93">
                  <c:v>45782</c:v>
                </c:pt>
                <c:pt idx="94">
                  <c:v>45783</c:v>
                </c:pt>
                <c:pt idx="95">
                  <c:v>45784</c:v>
                </c:pt>
                <c:pt idx="96">
                  <c:v>45785</c:v>
                </c:pt>
                <c:pt idx="97">
                  <c:v>45786</c:v>
                </c:pt>
                <c:pt idx="98">
                  <c:v>45787</c:v>
                </c:pt>
                <c:pt idx="99">
                  <c:v>45788</c:v>
                </c:pt>
                <c:pt idx="100">
                  <c:v>45789</c:v>
                </c:pt>
                <c:pt idx="101">
                  <c:v>45790</c:v>
                </c:pt>
                <c:pt idx="102">
                  <c:v>45791</c:v>
                </c:pt>
                <c:pt idx="103">
                  <c:v>45792</c:v>
                </c:pt>
                <c:pt idx="104">
                  <c:v>45793</c:v>
                </c:pt>
                <c:pt idx="105">
                  <c:v>45794</c:v>
                </c:pt>
                <c:pt idx="106">
                  <c:v>45795</c:v>
                </c:pt>
                <c:pt idx="107">
                  <c:v>45796</c:v>
                </c:pt>
                <c:pt idx="108">
                  <c:v>45797</c:v>
                </c:pt>
                <c:pt idx="109">
                  <c:v>45798</c:v>
                </c:pt>
                <c:pt idx="110">
                  <c:v>45799</c:v>
                </c:pt>
                <c:pt idx="111">
                  <c:v>45800</c:v>
                </c:pt>
                <c:pt idx="112">
                  <c:v>45801</c:v>
                </c:pt>
                <c:pt idx="113">
                  <c:v>45802</c:v>
                </c:pt>
                <c:pt idx="114">
                  <c:v>45803</c:v>
                </c:pt>
                <c:pt idx="115">
                  <c:v>45804</c:v>
                </c:pt>
                <c:pt idx="116">
                  <c:v>45805</c:v>
                </c:pt>
                <c:pt idx="117">
                  <c:v>45806</c:v>
                </c:pt>
                <c:pt idx="118">
                  <c:v>45807</c:v>
                </c:pt>
                <c:pt idx="119">
                  <c:v>45808</c:v>
                </c:pt>
                <c:pt idx="120">
                  <c:v>45809</c:v>
                </c:pt>
                <c:pt idx="121">
                  <c:v>45810</c:v>
                </c:pt>
                <c:pt idx="122">
                  <c:v>45811</c:v>
                </c:pt>
                <c:pt idx="123">
                  <c:v>45812</c:v>
                </c:pt>
                <c:pt idx="124">
                  <c:v>45813</c:v>
                </c:pt>
                <c:pt idx="125">
                  <c:v>45814</c:v>
                </c:pt>
                <c:pt idx="126">
                  <c:v>45815</c:v>
                </c:pt>
                <c:pt idx="127">
                  <c:v>45816</c:v>
                </c:pt>
                <c:pt idx="128">
                  <c:v>45817</c:v>
                </c:pt>
                <c:pt idx="129">
                  <c:v>45818</c:v>
                </c:pt>
                <c:pt idx="130">
                  <c:v>45819</c:v>
                </c:pt>
                <c:pt idx="131">
                  <c:v>45820</c:v>
                </c:pt>
                <c:pt idx="132">
                  <c:v>45821</c:v>
                </c:pt>
                <c:pt idx="133">
                  <c:v>45822</c:v>
                </c:pt>
                <c:pt idx="134">
                  <c:v>45823</c:v>
                </c:pt>
                <c:pt idx="135">
                  <c:v>45824</c:v>
                </c:pt>
                <c:pt idx="136">
                  <c:v>45825</c:v>
                </c:pt>
                <c:pt idx="137">
                  <c:v>45826</c:v>
                </c:pt>
                <c:pt idx="138">
                  <c:v>45827</c:v>
                </c:pt>
                <c:pt idx="139">
                  <c:v>45828</c:v>
                </c:pt>
                <c:pt idx="140">
                  <c:v>45829</c:v>
                </c:pt>
                <c:pt idx="141">
                  <c:v>45830</c:v>
                </c:pt>
                <c:pt idx="142">
                  <c:v>45831</c:v>
                </c:pt>
                <c:pt idx="143">
                  <c:v>45832</c:v>
                </c:pt>
                <c:pt idx="144">
                  <c:v>45833</c:v>
                </c:pt>
                <c:pt idx="145">
                  <c:v>45834</c:v>
                </c:pt>
                <c:pt idx="146">
                  <c:v>45835</c:v>
                </c:pt>
                <c:pt idx="147">
                  <c:v>45836</c:v>
                </c:pt>
                <c:pt idx="148">
                  <c:v>45837</c:v>
                </c:pt>
                <c:pt idx="149">
                  <c:v>45838</c:v>
                </c:pt>
              </c:numCache>
            </c:numRef>
          </c:cat>
          <c:val>
            <c:numRef>
              <c:f>'Working data'!$E$2:$E$151</c:f>
              <c:numCache>
                <c:formatCode>General</c:formatCode>
                <c:ptCount val="150"/>
                <c:pt idx="0">
                  <c:v>245</c:v>
                </c:pt>
                <c:pt idx="1">
                  <c:v>2632</c:v>
                </c:pt>
                <c:pt idx="2">
                  <c:v>260</c:v>
                </c:pt>
                <c:pt idx="3">
                  <c:v>584</c:v>
                </c:pt>
                <c:pt idx="4">
                  <c:v>1103</c:v>
                </c:pt>
                <c:pt idx="5">
                  <c:v>-14822</c:v>
                </c:pt>
                <c:pt idx="6">
                  <c:v>410</c:v>
                </c:pt>
                <c:pt idx="7">
                  <c:v>-236</c:v>
                </c:pt>
                <c:pt idx="8">
                  <c:v>180</c:v>
                </c:pt>
                <c:pt idx="9">
                  <c:v>0</c:v>
                </c:pt>
                <c:pt idx="10">
                  <c:v>932</c:v>
                </c:pt>
                <c:pt idx="11">
                  <c:v>160</c:v>
                </c:pt>
                <c:pt idx="12">
                  <c:v>1374</c:v>
                </c:pt>
                <c:pt idx="13">
                  <c:v>-217</c:v>
                </c:pt>
                <c:pt idx="14">
                  <c:v>354</c:v>
                </c:pt>
                <c:pt idx="15">
                  <c:v>2380</c:v>
                </c:pt>
                <c:pt idx="16">
                  <c:v>-243</c:v>
                </c:pt>
                <c:pt idx="17">
                  <c:v>-959</c:v>
                </c:pt>
                <c:pt idx="18">
                  <c:v>284</c:v>
                </c:pt>
                <c:pt idx="19">
                  <c:v>119</c:v>
                </c:pt>
                <c:pt idx="20">
                  <c:v>390</c:v>
                </c:pt>
                <c:pt idx="21">
                  <c:v>300</c:v>
                </c:pt>
                <c:pt idx="22">
                  <c:v>190</c:v>
                </c:pt>
                <c:pt idx="23">
                  <c:v>1374</c:v>
                </c:pt>
                <c:pt idx="24">
                  <c:v>45</c:v>
                </c:pt>
                <c:pt idx="25">
                  <c:v>670</c:v>
                </c:pt>
                <c:pt idx="26">
                  <c:v>170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264</c:v>
                </c:pt>
                <c:pt idx="31">
                  <c:v>2142</c:v>
                </c:pt>
                <c:pt idx="32">
                  <c:v>1130</c:v>
                </c:pt>
                <c:pt idx="33">
                  <c:v>1498</c:v>
                </c:pt>
                <c:pt idx="34">
                  <c:v>598</c:v>
                </c:pt>
                <c:pt idx="35">
                  <c:v>1414</c:v>
                </c:pt>
                <c:pt idx="36">
                  <c:v>675</c:v>
                </c:pt>
                <c:pt idx="37">
                  <c:v>1590</c:v>
                </c:pt>
                <c:pt idx="38">
                  <c:v>4609</c:v>
                </c:pt>
                <c:pt idx="39">
                  <c:v>340</c:v>
                </c:pt>
                <c:pt idx="40">
                  <c:v>2573</c:v>
                </c:pt>
                <c:pt idx="41">
                  <c:v>0</c:v>
                </c:pt>
                <c:pt idx="42">
                  <c:v>-360</c:v>
                </c:pt>
                <c:pt idx="43">
                  <c:v>1306</c:v>
                </c:pt>
                <c:pt idx="44">
                  <c:v>1343</c:v>
                </c:pt>
                <c:pt idx="45">
                  <c:v>2290</c:v>
                </c:pt>
                <c:pt idx="46">
                  <c:v>270</c:v>
                </c:pt>
                <c:pt idx="47">
                  <c:v>-584</c:v>
                </c:pt>
                <c:pt idx="48">
                  <c:v>1606</c:v>
                </c:pt>
                <c:pt idx="49">
                  <c:v>2993</c:v>
                </c:pt>
                <c:pt idx="50">
                  <c:v>30</c:v>
                </c:pt>
                <c:pt idx="51">
                  <c:v>2240</c:v>
                </c:pt>
                <c:pt idx="52">
                  <c:v>740</c:v>
                </c:pt>
                <c:pt idx="53">
                  <c:v>-6050</c:v>
                </c:pt>
                <c:pt idx="54">
                  <c:v>1950</c:v>
                </c:pt>
                <c:pt idx="55">
                  <c:v>2460</c:v>
                </c:pt>
                <c:pt idx="56">
                  <c:v>2487</c:v>
                </c:pt>
                <c:pt idx="57">
                  <c:v>1004</c:v>
                </c:pt>
                <c:pt idx="58">
                  <c:v>1574</c:v>
                </c:pt>
                <c:pt idx="59">
                  <c:v>628</c:v>
                </c:pt>
                <c:pt idx="60">
                  <c:v>1440</c:v>
                </c:pt>
                <c:pt idx="61">
                  <c:v>-160</c:v>
                </c:pt>
                <c:pt idx="62">
                  <c:v>816</c:v>
                </c:pt>
                <c:pt idx="63">
                  <c:v>-23362</c:v>
                </c:pt>
                <c:pt idx="64">
                  <c:v>-235</c:v>
                </c:pt>
                <c:pt idx="65">
                  <c:v>-424</c:v>
                </c:pt>
                <c:pt idx="66">
                  <c:v>525</c:v>
                </c:pt>
                <c:pt idx="67">
                  <c:v>-1415</c:v>
                </c:pt>
                <c:pt idx="68">
                  <c:v>650</c:v>
                </c:pt>
                <c:pt idx="69">
                  <c:v>-724</c:v>
                </c:pt>
                <c:pt idx="70">
                  <c:v>150</c:v>
                </c:pt>
                <c:pt idx="71">
                  <c:v>1248</c:v>
                </c:pt>
                <c:pt idx="72">
                  <c:v>2464</c:v>
                </c:pt>
                <c:pt idx="73">
                  <c:v>-150</c:v>
                </c:pt>
                <c:pt idx="74">
                  <c:v>785</c:v>
                </c:pt>
                <c:pt idx="75">
                  <c:v>1655</c:v>
                </c:pt>
                <c:pt idx="76">
                  <c:v>766</c:v>
                </c:pt>
                <c:pt idx="77">
                  <c:v>1060</c:v>
                </c:pt>
                <c:pt idx="78">
                  <c:v>-929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1227</c:v>
                </c:pt>
                <c:pt idx="92">
                  <c:v>444</c:v>
                </c:pt>
                <c:pt idx="93">
                  <c:v>-17840</c:v>
                </c:pt>
                <c:pt idx="94">
                  <c:v>1974</c:v>
                </c:pt>
                <c:pt idx="95">
                  <c:v>755</c:v>
                </c:pt>
                <c:pt idx="96">
                  <c:v>-4143</c:v>
                </c:pt>
                <c:pt idx="97">
                  <c:v>25</c:v>
                </c:pt>
                <c:pt idx="98">
                  <c:v>750</c:v>
                </c:pt>
                <c:pt idx="99">
                  <c:v>2864</c:v>
                </c:pt>
                <c:pt idx="100">
                  <c:v>-2010</c:v>
                </c:pt>
                <c:pt idx="101">
                  <c:v>499</c:v>
                </c:pt>
                <c:pt idx="102">
                  <c:v>1020</c:v>
                </c:pt>
                <c:pt idx="103">
                  <c:v>679</c:v>
                </c:pt>
                <c:pt idx="104">
                  <c:v>825</c:v>
                </c:pt>
                <c:pt idx="105">
                  <c:v>1619</c:v>
                </c:pt>
                <c:pt idx="106">
                  <c:v>1189</c:v>
                </c:pt>
                <c:pt idx="107">
                  <c:v>-1480</c:v>
                </c:pt>
                <c:pt idx="108">
                  <c:v>-7029</c:v>
                </c:pt>
                <c:pt idx="109">
                  <c:v>1594</c:v>
                </c:pt>
                <c:pt idx="110">
                  <c:v>1104</c:v>
                </c:pt>
                <c:pt idx="111">
                  <c:v>1050</c:v>
                </c:pt>
                <c:pt idx="112">
                  <c:v>370</c:v>
                </c:pt>
                <c:pt idx="113">
                  <c:v>919</c:v>
                </c:pt>
                <c:pt idx="114">
                  <c:v>545</c:v>
                </c:pt>
                <c:pt idx="115">
                  <c:v>1515</c:v>
                </c:pt>
                <c:pt idx="116">
                  <c:v>713</c:v>
                </c:pt>
                <c:pt idx="117">
                  <c:v>935</c:v>
                </c:pt>
                <c:pt idx="118">
                  <c:v>1197</c:v>
                </c:pt>
                <c:pt idx="119">
                  <c:v>1762</c:v>
                </c:pt>
                <c:pt idx="120">
                  <c:v>1040</c:v>
                </c:pt>
                <c:pt idx="121">
                  <c:v>654</c:v>
                </c:pt>
                <c:pt idx="122">
                  <c:v>268</c:v>
                </c:pt>
                <c:pt idx="123">
                  <c:v>725</c:v>
                </c:pt>
                <c:pt idx="124">
                  <c:v>544</c:v>
                </c:pt>
                <c:pt idx="125">
                  <c:v>1023</c:v>
                </c:pt>
                <c:pt idx="126">
                  <c:v>1740</c:v>
                </c:pt>
                <c:pt idx="127">
                  <c:v>1909</c:v>
                </c:pt>
                <c:pt idx="128">
                  <c:v>458</c:v>
                </c:pt>
                <c:pt idx="129">
                  <c:v>-14717</c:v>
                </c:pt>
                <c:pt idx="130">
                  <c:v>-2900</c:v>
                </c:pt>
                <c:pt idx="131">
                  <c:v>1139</c:v>
                </c:pt>
                <c:pt idx="132">
                  <c:v>-2280</c:v>
                </c:pt>
                <c:pt idx="133">
                  <c:v>1138</c:v>
                </c:pt>
                <c:pt idx="134">
                  <c:v>1759</c:v>
                </c:pt>
                <c:pt idx="135">
                  <c:v>1889</c:v>
                </c:pt>
                <c:pt idx="136">
                  <c:v>205</c:v>
                </c:pt>
                <c:pt idx="137">
                  <c:v>1024</c:v>
                </c:pt>
                <c:pt idx="138">
                  <c:v>668</c:v>
                </c:pt>
                <c:pt idx="139">
                  <c:v>288</c:v>
                </c:pt>
                <c:pt idx="140">
                  <c:v>754</c:v>
                </c:pt>
                <c:pt idx="141">
                  <c:v>-9870</c:v>
                </c:pt>
                <c:pt idx="142">
                  <c:v>600</c:v>
                </c:pt>
                <c:pt idx="143">
                  <c:v>1098</c:v>
                </c:pt>
                <c:pt idx="144">
                  <c:v>690</c:v>
                </c:pt>
                <c:pt idx="145">
                  <c:v>1023</c:v>
                </c:pt>
                <c:pt idx="146">
                  <c:v>3490</c:v>
                </c:pt>
                <c:pt idx="147">
                  <c:v>350</c:v>
                </c:pt>
                <c:pt idx="148">
                  <c:v>616</c:v>
                </c:pt>
                <c:pt idx="149">
                  <c:v>2270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C-4C0A-80E1-94AE92EE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088351"/>
        <c:axId val="697109471"/>
      </c:lineChart>
      <c:dateAx>
        <c:axId val="6970883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09471"/>
        <c:crosses val="autoZero"/>
        <c:auto val="1"/>
        <c:lblOffset val="100"/>
        <c:baseTimeUnit val="days"/>
      </c:dateAx>
      <c:valAx>
        <c:axId val="6971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dataset-coffee beans.xlsx]Per day average sales!PivotTable1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day average sales'!$B$3</c:f>
              <c:strCache>
                <c:ptCount val="1"/>
                <c:pt idx="0">
                  <c:v>Average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 day average sales'!$A$4:$A$11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'Per day average sales'!$B$4:$B$11</c:f>
              <c:numCache>
                <c:formatCode>General</c:formatCode>
                <c:ptCount val="7"/>
                <c:pt idx="0">
                  <c:v>1550.9047619047619</c:v>
                </c:pt>
                <c:pt idx="1">
                  <c:v>1295</c:v>
                </c:pt>
                <c:pt idx="2">
                  <c:v>1656.8421052631579</c:v>
                </c:pt>
                <c:pt idx="3">
                  <c:v>1297.3684210526317</c:v>
                </c:pt>
                <c:pt idx="4">
                  <c:v>1271.578947368421</c:v>
                </c:pt>
                <c:pt idx="5">
                  <c:v>1252.1052631578948</c:v>
                </c:pt>
                <c:pt idx="6">
                  <c:v>1700.8571428571429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F-4032-B5C9-5C30BE1A79CA}"/>
            </c:ext>
          </c:extLst>
        </c:ser>
        <c:ser>
          <c:idx val="1"/>
          <c:order val="1"/>
          <c:tx>
            <c:strRef>
              <c:f>'Per day average sales'!$C$3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 day average sales'!$A$4:$A$11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'Per day average sales'!$C$4:$C$11</c:f>
              <c:numCache>
                <c:formatCode>General</c:formatCode>
                <c:ptCount val="7"/>
                <c:pt idx="0">
                  <c:v>425.04545454545456</c:v>
                </c:pt>
                <c:pt idx="1">
                  <c:v>-203.27272727272728</c:v>
                </c:pt>
                <c:pt idx="2">
                  <c:v>-228.61904761904762</c:v>
                </c:pt>
                <c:pt idx="3">
                  <c:v>111.33333333333333</c:v>
                </c:pt>
                <c:pt idx="4">
                  <c:v>-172.76190476190476</c:v>
                </c:pt>
                <c:pt idx="5">
                  <c:v>558.23809523809518</c:v>
                </c:pt>
                <c:pt idx="6">
                  <c:v>-238.40909090909091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F-4032-B5C9-5C30BE1A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103711"/>
        <c:axId val="697112351"/>
      </c:barChart>
      <c:catAx>
        <c:axId val="6971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12351"/>
        <c:crosses val="autoZero"/>
        <c:auto val="1"/>
        <c:lblAlgn val="ctr"/>
        <c:lblOffset val="100"/>
        <c:noMultiLvlLbl val="0"/>
      </c:catAx>
      <c:valAx>
        <c:axId val="69711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10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114300</xdr:rowOff>
    </xdr:from>
    <xdr:to>
      <xdr:col>15</xdr:col>
      <xdr:colOff>440818</xdr:colOff>
      <xdr:row>22</xdr:row>
      <xdr:rowOff>170259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408C3-5F0F-4587-94E2-78C44FD7F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180975</xdr:rowOff>
    </xdr:from>
    <xdr:to>
      <xdr:col>16</xdr:col>
      <xdr:colOff>306457</xdr:colOff>
      <xdr:row>25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8ED73-1F52-4890-8CD7-E7279A635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19050</xdr:rowOff>
    </xdr:from>
    <xdr:to>
      <xdr:col>13</xdr:col>
      <xdr:colOff>364021</xdr:colOff>
      <xdr:row>25</xdr:row>
      <xdr:rowOff>185531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343F0-8807-48BA-AFA4-1553F66A2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3</xdr:row>
      <xdr:rowOff>76200</xdr:rowOff>
    </xdr:from>
    <xdr:to>
      <xdr:col>17</xdr:col>
      <xdr:colOff>247650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18448-D347-4120-928B-CC80858D8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daant Arora" refreshedDate="45846.969408912038" createdVersion="8" refreshedVersion="8" minRefreshableVersion="3" recordCount="150" xr:uid="{A39F124A-AE9F-4380-8B58-7A9BAE7EF22F}">
  <cacheSource type="worksheet">
    <worksheetSource ref="A1:E151" sheet="Working data"/>
  </cacheSource>
  <cacheFields count="5">
    <cacheField name="Date " numFmtId="14">
      <sharedItems containsSemiMixedTypes="0" containsNonDate="0" containsDate="1" containsString="0" minDate="2025-02-01T00:00:00" maxDate="2025-07-01T00:00:00"/>
    </cacheField>
    <cacheField name="Day" numFmtId="14">
      <sharedItems count="7">
        <s v="Saturday"/>
        <s v="Sunday"/>
        <s v="Monday"/>
        <s v="Tuesday"/>
        <s v="Wednesday"/>
        <s v="Thursday"/>
        <s v="Friday"/>
      </sharedItems>
    </cacheField>
    <cacheField name="Sales" numFmtId="0">
      <sharedItems containsMixedTypes="1" containsNumber="1" containsInteger="1" minValue="0" maxValue="6200"/>
    </cacheField>
    <cacheField name="Expense" numFmtId="0">
      <sharedItems containsMixedTypes="1" containsNumber="1" containsInteger="1" minValue="0" maxValue="27267"/>
    </cacheField>
    <cacheField name="Profit" numFmtId="0">
      <sharedItems containsSemiMixedTypes="0" containsString="0" containsNumber="1" containsInteger="1" minValue="-23362" maxValue="46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5-02-01T00:00:00"/>
    <x v="0"/>
    <n v="770"/>
    <n v="525"/>
    <n v="245"/>
  </r>
  <r>
    <d v="2025-02-02T00:00:00"/>
    <x v="1"/>
    <n v="3970"/>
    <n v="1338"/>
    <n v="2632"/>
  </r>
  <r>
    <d v="2025-02-03T00:00:00"/>
    <x v="2"/>
    <n v="310"/>
    <n v="50"/>
    <n v="260"/>
  </r>
  <r>
    <d v="2025-02-04T00:00:00"/>
    <x v="3"/>
    <n v="740"/>
    <n v="156"/>
    <n v="584"/>
  </r>
  <r>
    <d v="2025-02-05T00:00:00"/>
    <x v="4"/>
    <n v="1250"/>
    <n v="147"/>
    <n v="1103"/>
  </r>
  <r>
    <d v="2025-02-06T00:00:00"/>
    <x v="5"/>
    <n v="1020"/>
    <n v="15842"/>
    <n v="-14822"/>
  </r>
  <r>
    <d v="2025-02-07T00:00:00"/>
    <x v="6"/>
    <n v="460"/>
    <n v="50"/>
    <n v="410"/>
  </r>
  <r>
    <d v="2025-02-08T00:00:00"/>
    <x v="0"/>
    <n v="1290"/>
    <n v="1526"/>
    <n v="-236"/>
  </r>
  <r>
    <d v="2025-02-09T00:00:00"/>
    <x v="1"/>
    <n v="270"/>
    <n v="90"/>
    <n v="180"/>
  </r>
  <r>
    <d v="2025-02-10T00:00:00"/>
    <x v="2"/>
    <n v="0"/>
    <n v="0"/>
    <n v="0"/>
  </r>
  <r>
    <d v="2025-02-11T00:00:00"/>
    <x v="3"/>
    <n v="1300"/>
    <n v="368"/>
    <n v="932"/>
  </r>
  <r>
    <d v="2025-02-12T00:00:00"/>
    <x v="4"/>
    <n v="490"/>
    <n v="330"/>
    <n v="160"/>
  </r>
  <r>
    <d v="2025-02-13T00:00:00"/>
    <x v="5"/>
    <n v="1620"/>
    <n v="246"/>
    <n v="1374"/>
  </r>
  <r>
    <d v="2025-02-14T00:00:00"/>
    <x v="6"/>
    <n v="210"/>
    <n v="427"/>
    <n v="-217"/>
  </r>
  <r>
    <d v="2025-02-15T00:00:00"/>
    <x v="0"/>
    <n v="910"/>
    <n v="556"/>
    <n v="354"/>
  </r>
  <r>
    <d v="2025-02-16T00:00:00"/>
    <x v="1"/>
    <n v="2590"/>
    <n v="210"/>
    <n v="2380"/>
  </r>
  <r>
    <d v="2025-02-17T00:00:00"/>
    <x v="2"/>
    <n v="610"/>
    <n v="853"/>
    <n v="-243"/>
  </r>
  <r>
    <d v="2025-02-18T00:00:00"/>
    <x v="3"/>
    <n v="420"/>
    <n v="1379"/>
    <n v="-959"/>
  </r>
  <r>
    <d v="2025-02-19T00:00:00"/>
    <x v="4"/>
    <n v="1200"/>
    <n v="916"/>
    <n v="284"/>
  </r>
  <r>
    <d v="2025-02-20T00:00:00"/>
    <x v="5"/>
    <n v="200"/>
    <n v="81"/>
    <n v="119"/>
  </r>
  <r>
    <d v="2025-02-21T00:00:00"/>
    <x v="6"/>
    <n v="410"/>
    <n v="20"/>
    <n v="390"/>
  </r>
  <r>
    <d v="2025-02-22T00:00:00"/>
    <x v="0"/>
    <n v="380"/>
    <n v="80"/>
    <n v="300"/>
  </r>
  <r>
    <d v="2025-02-23T00:00:00"/>
    <x v="1"/>
    <n v="190"/>
    <n v="0"/>
    <n v="190"/>
  </r>
  <r>
    <d v="2025-02-24T00:00:00"/>
    <x v="2"/>
    <n v="1470"/>
    <n v="96"/>
    <n v="1374"/>
  </r>
  <r>
    <d v="2025-02-25T00:00:00"/>
    <x v="3"/>
    <n v="150"/>
    <n v="105"/>
    <n v="45"/>
  </r>
  <r>
    <d v="2025-02-26T00:00:00"/>
    <x v="4"/>
    <n v="780"/>
    <n v="110"/>
    <n v="670"/>
  </r>
  <r>
    <d v="2025-02-27T00:00:00"/>
    <x v="5"/>
    <n v="170"/>
    <n v="0"/>
    <n v="170"/>
  </r>
  <r>
    <d v="2025-02-28T00:00:00"/>
    <x v="6"/>
    <n v="0"/>
    <n v="0"/>
    <n v="0"/>
  </r>
  <r>
    <d v="2025-03-01T00:00:00"/>
    <x v="0"/>
    <n v="0"/>
    <n v="0"/>
    <n v="0"/>
  </r>
  <r>
    <d v="2025-03-02T00:00:00"/>
    <x v="1"/>
    <n v="0"/>
    <n v="0"/>
    <n v="0"/>
  </r>
  <r>
    <d v="2025-03-03T00:00:00"/>
    <x v="2"/>
    <n v="660"/>
    <n v="396"/>
    <n v="264"/>
  </r>
  <r>
    <d v="2025-03-04T00:00:00"/>
    <x v="3"/>
    <n v="2360"/>
    <n v="218"/>
    <n v="2142"/>
  </r>
  <r>
    <d v="2025-03-05T00:00:00"/>
    <x v="4"/>
    <n v="1130"/>
    <n v="0"/>
    <n v="1130"/>
  </r>
  <r>
    <d v="2025-03-06T00:00:00"/>
    <x v="5"/>
    <n v="1660"/>
    <n v="162"/>
    <n v="1498"/>
  </r>
  <r>
    <d v="2025-03-07T00:00:00"/>
    <x v="6"/>
    <n v="2170"/>
    <n v="1572"/>
    <n v="598"/>
  </r>
  <r>
    <d v="2025-03-08T00:00:00"/>
    <x v="0"/>
    <n v="2830"/>
    <n v="1416"/>
    <n v="1414"/>
  </r>
  <r>
    <d v="2025-03-09T00:00:00"/>
    <x v="1"/>
    <n v="1850"/>
    <n v="1175"/>
    <n v="675"/>
  </r>
  <r>
    <d v="2025-03-10T00:00:00"/>
    <x v="2"/>
    <n v="1640"/>
    <n v="50"/>
    <n v="1590"/>
  </r>
  <r>
    <d v="2025-03-11T00:00:00"/>
    <x v="3"/>
    <n v="6200"/>
    <n v="1591"/>
    <n v="4609"/>
  </r>
  <r>
    <d v="2025-03-12T00:00:00"/>
    <x v="4"/>
    <n v="930"/>
    <n v="590"/>
    <n v="340"/>
  </r>
  <r>
    <d v="2025-03-13T00:00:00"/>
    <x v="5"/>
    <n v="2860"/>
    <n v="287"/>
    <n v="2573"/>
  </r>
  <r>
    <d v="2025-03-14T00:00:00"/>
    <x v="6"/>
    <n v="0"/>
    <n v="0"/>
    <n v="0"/>
  </r>
  <r>
    <d v="2025-03-15T00:00:00"/>
    <x v="0"/>
    <n v="3440"/>
    <n v="3800"/>
    <n v="-360"/>
  </r>
  <r>
    <d v="2025-03-16T00:00:00"/>
    <x v="1"/>
    <n v="1440"/>
    <n v="134"/>
    <n v="1306"/>
  </r>
  <r>
    <d v="2025-03-17T00:00:00"/>
    <x v="2"/>
    <n v="2220"/>
    <n v="877"/>
    <n v="1343"/>
  </r>
  <r>
    <d v="2025-03-18T00:00:00"/>
    <x v="3"/>
    <n v="2770"/>
    <n v="480"/>
    <n v="2290"/>
  </r>
  <r>
    <d v="2025-03-19T00:00:00"/>
    <x v="4"/>
    <n v="1240"/>
    <n v="970"/>
    <n v="270"/>
  </r>
  <r>
    <d v="2025-03-20T00:00:00"/>
    <x v="5"/>
    <n v="1070"/>
    <n v="1654"/>
    <n v="-584"/>
  </r>
  <r>
    <d v="2025-03-21T00:00:00"/>
    <x v="6"/>
    <n v="2430"/>
    <n v="824"/>
    <n v="1606"/>
  </r>
  <r>
    <d v="2025-03-22T00:00:00"/>
    <x v="0"/>
    <n v="3970"/>
    <n v="977"/>
    <n v="2993"/>
  </r>
  <r>
    <d v="2025-03-23T00:00:00"/>
    <x v="1"/>
    <n v="1030"/>
    <n v="1000"/>
    <n v="30"/>
  </r>
  <r>
    <d v="2025-03-24T00:00:00"/>
    <x v="2"/>
    <n v="2390"/>
    <n v="150"/>
    <n v="2240"/>
  </r>
  <r>
    <d v="2025-03-25T00:00:00"/>
    <x v="3"/>
    <n v="1510"/>
    <n v="770"/>
    <n v="740"/>
  </r>
  <r>
    <d v="2025-03-26T00:00:00"/>
    <x v="4"/>
    <n v="1690"/>
    <n v="7740"/>
    <n v="-6050"/>
  </r>
  <r>
    <d v="2025-03-27T00:00:00"/>
    <x v="5"/>
    <n v="2320"/>
    <n v="370"/>
    <n v="1950"/>
  </r>
  <r>
    <d v="2025-03-28T00:00:00"/>
    <x v="6"/>
    <n v="3050"/>
    <n v="590"/>
    <n v="2460"/>
  </r>
  <r>
    <d v="2025-03-29T00:00:00"/>
    <x v="0"/>
    <n v="2800"/>
    <n v="313"/>
    <n v="2487"/>
  </r>
  <r>
    <d v="2025-03-30T00:00:00"/>
    <x v="1"/>
    <n v="1160"/>
    <n v="156"/>
    <n v="1004"/>
  </r>
  <r>
    <d v="2025-03-31T00:00:00"/>
    <x v="2"/>
    <n v="1820"/>
    <n v="246"/>
    <n v="1574"/>
  </r>
  <r>
    <d v="2025-04-01T00:00:00"/>
    <x v="3"/>
    <n v="1620"/>
    <n v="992"/>
    <n v="628"/>
  </r>
  <r>
    <d v="2025-04-02T00:00:00"/>
    <x v="4"/>
    <n v="1490"/>
    <n v="50"/>
    <n v="1440"/>
  </r>
  <r>
    <d v="2025-04-03T00:00:00"/>
    <x v="5"/>
    <n v="740"/>
    <n v="900"/>
    <n v="-160"/>
  </r>
  <r>
    <d v="2025-04-04T00:00:00"/>
    <x v="6"/>
    <n v="1560"/>
    <n v="744"/>
    <n v="816"/>
  </r>
  <r>
    <d v="2025-04-05T00:00:00"/>
    <x v="0"/>
    <n v="3905"/>
    <n v="27267"/>
    <n v="-23362"/>
  </r>
  <r>
    <d v="2025-04-06T00:00:00"/>
    <x v="1"/>
    <n v="1470"/>
    <n v="1705"/>
    <n v="-235"/>
  </r>
  <r>
    <d v="2025-04-07T00:00:00"/>
    <x v="2"/>
    <n v="1650"/>
    <n v="2074"/>
    <n v="-424"/>
  </r>
  <r>
    <d v="2025-04-08T00:00:00"/>
    <x v="3"/>
    <n v="690"/>
    <n v="165"/>
    <n v="525"/>
  </r>
  <r>
    <d v="2025-04-09T00:00:00"/>
    <x v="4"/>
    <n v="1590"/>
    <n v="3005"/>
    <n v="-1415"/>
  </r>
  <r>
    <d v="2025-04-10T00:00:00"/>
    <x v="5"/>
    <n v="730"/>
    <n v="80"/>
    <n v="650"/>
  </r>
  <r>
    <d v="2025-04-11T00:00:00"/>
    <x v="6"/>
    <n v="960"/>
    <n v="1684"/>
    <n v="-724"/>
  </r>
  <r>
    <d v="2025-04-12T00:00:00"/>
    <x v="0"/>
    <n v="1000"/>
    <n v="850"/>
    <n v="150"/>
  </r>
  <r>
    <d v="2025-04-13T00:00:00"/>
    <x v="1"/>
    <n v="1364"/>
    <n v="116"/>
    <n v="1248"/>
  </r>
  <r>
    <d v="2025-04-14T00:00:00"/>
    <x v="2"/>
    <n v="2620"/>
    <n v="156"/>
    <n v="2464"/>
  </r>
  <r>
    <d v="2025-04-15T00:00:00"/>
    <x v="3"/>
    <n v="2780"/>
    <n v="2930"/>
    <n v="-150"/>
  </r>
  <r>
    <d v="2025-04-16T00:00:00"/>
    <x v="4"/>
    <n v="1400"/>
    <n v="615"/>
    <n v="785"/>
  </r>
  <r>
    <d v="2025-04-17T00:00:00"/>
    <x v="5"/>
    <n v="1710"/>
    <n v="55"/>
    <n v="1655"/>
  </r>
  <r>
    <d v="2025-04-18T00:00:00"/>
    <x v="6"/>
    <n v="1330"/>
    <n v="564"/>
    <n v="766"/>
  </r>
  <r>
    <d v="2025-04-19T00:00:00"/>
    <x v="0"/>
    <n v="1310"/>
    <n v="250"/>
    <n v="1060"/>
  </r>
  <r>
    <d v="2025-04-20T00:00:00"/>
    <x v="1"/>
    <n v="2330"/>
    <n v="3259"/>
    <n v="-929"/>
  </r>
  <r>
    <d v="2025-04-21T00:00:00"/>
    <x v="2"/>
    <s v="NA"/>
    <s v="NA"/>
    <n v="0"/>
  </r>
  <r>
    <d v="2025-04-22T00:00:00"/>
    <x v="3"/>
    <s v="NA"/>
    <s v="NA"/>
    <n v="0"/>
  </r>
  <r>
    <d v="2025-04-23T00:00:00"/>
    <x v="4"/>
    <s v="NA"/>
    <s v="NA"/>
    <n v="0"/>
  </r>
  <r>
    <d v="2025-04-24T00:00:00"/>
    <x v="5"/>
    <s v="NA"/>
    <s v="NA"/>
    <n v="0"/>
  </r>
  <r>
    <d v="2025-04-25T00:00:00"/>
    <x v="6"/>
    <s v="NA"/>
    <s v="NA"/>
    <n v="0"/>
  </r>
  <r>
    <d v="2025-04-26T00:00:00"/>
    <x v="0"/>
    <s v="NA"/>
    <s v="NA"/>
    <n v="0"/>
  </r>
  <r>
    <d v="2025-04-27T00:00:00"/>
    <x v="1"/>
    <s v="NA"/>
    <s v="NA"/>
    <n v="0"/>
  </r>
  <r>
    <d v="2025-04-28T00:00:00"/>
    <x v="2"/>
    <s v="NA"/>
    <s v="NA"/>
    <n v="0"/>
  </r>
  <r>
    <d v="2025-04-29T00:00:00"/>
    <x v="3"/>
    <s v="NA"/>
    <s v="NA"/>
    <n v="0"/>
  </r>
  <r>
    <d v="2025-04-30T00:00:00"/>
    <x v="4"/>
    <s v="NA"/>
    <s v="NA"/>
    <n v="0"/>
  </r>
  <r>
    <d v="2025-05-01T00:00:00"/>
    <x v="5"/>
    <s v="NA"/>
    <s v="NA"/>
    <n v="0"/>
  </r>
  <r>
    <d v="2025-05-02T00:00:00"/>
    <x v="6"/>
    <s v="NA"/>
    <s v="NA"/>
    <n v="0"/>
  </r>
  <r>
    <d v="2025-05-03T00:00:00"/>
    <x v="0"/>
    <n v="1780"/>
    <n v="553"/>
    <n v="1227"/>
  </r>
  <r>
    <d v="2025-05-04T00:00:00"/>
    <x v="1"/>
    <n v="1210"/>
    <n v="766"/>
    <n v="444"/>
  </r>
  <r>
    <d v="2025-05-05T00:00:00"/>
    <x v="2"/>
    <n v="1230"/>
    <n v="19070"/>
    <n v="-17840"/>
  </r>
  <r>
    <d v="2025-05-06T00:00:00"/>
    <x v="3"/>
    <n v="2060"/>
    <n v="86"/>
    <n v="1974"/>
  </r>
  <r>
    <d v="2025-05-07T00:00:00"/>
    <x v="4"/>
    <n v="780"/>
    <n v="25"/>
    <n v="755"/>
  </r>
  <r>
    <d v="2025-05-08T00:00:00"/>
    <x v="5"/>
    <n v="1140"/>
    <n v="5283"/>
    <n v="-4143"/>
  </r>
  <r>
    <d v="2025-05-09T00:00:00"/>
    <x v="6"/>
    <n v="450"/>
    <n v="425"/>
    <n v="25"/>
  </r>
  <r>
    <d v="2025-05-10T00:00:00"/>
    <x v="0"/>
    <n v="800"/>
    <n v="50"/>
    <n v="750"/>
  </r>
  <r>
    <d v="2025-05-11T00:00:00"/>
    <x v="1"/>
    <n v="3100"/>
    <n v="236"/>
    <n v="2864"/>
  </r>
  <r>
    <d v="2025-05-12T00:00:00"/>
    <x v="2"/>
    <n v="1040"/>
    <n v="3050"/>
    <n v="-2010"/>
  </r>
  <r>
    <d v="2025-05-13T00:00:00"/>
    <x v="3"/>
    <n v="1055"/>
    <n v="556"/>
    <n v="499"/>
  </r>
  <r>
    <d v="2025-05-14T00:00:00"/>
    <x v="4"/>
    <n v="4210"/>
    <n v="3190"/>
    <n v="1020"/>
  </r>
  <r>
    <d v="2025-05-15T00:00:00"/>
    <x v="5"/>
    <n v="1260"/>
    <n v="581"/>
    <n v="679"/>
  </r>
  <r>
    <d v="2025-05-16T00:00:00"/>
    <x v="6"/>
    <n v="1160"/>
    <n v="335"/>
    <n v="825"/>
  </r>
  <r>
    <d v="2025-05-17T00:00:00"/>
    <x v="0"/>
    <n v="1900"/>
    <n v="281"/>
    <n v="1619"/>
  </r>
  <r>
    <d v="2025-05-18T00:00:00"/>
    <x v="1"/>
    <n v="2900"/>
    <n v="1711"/>
    <n v="1189"/>
  </r>
  <r>
    <d v="2025-05-19T00:00:00"/>
    <x v="2"/>
    <n v="510"/>
    <n v="1990"/>
    <n v="-1480"/>
  </r>
  <r>
    <d v="2025-05-20T00:00:00"/>
    <x v="3"/>
    <n v="860"/>
    <n v="7889"/>
    <n v="-7029"/>
  </r>
  <r>
    <d v="2025-05-21T00:00:00"/>
    <x v="4"/>
    <n v="1740"/>
    <n v="146"/>
    <n v="1594"/>
  </r>
  <r>
    <d v="2025-05-22T00:00:00"/>
    <x v="5"/>
    <n v="1240"/>
    <n v="136"/>
    <n v="1104"/>
  </r>
  <r>
    <d v="2025-05-23T00:00:00"/>
    <x v="6"/>
    <n v="1190"/>
    <n v="140"/>
    <n v="1050"/>
  </r>
  <r>
    <d v="2025-05-24T00:00:00"/>
    <x v="0"/>
    <n v="1283"/>
    <n v="913"/>
    <n v="370"/>
  </r>
  <r>
    <d v="2025-05-25T00:00:00"/>
    <x v="1"/>
    <n v="1005"/>
    <n v="86"/>
    <n v="919"/>
  </r>
  <r>
    <d v="2025-05-26T00:00:00"/>
    <x v="2"/>
    <n v="1100"/>
    <n v="555"/>
    <n v="545"/>
  </r>
  <r>
    <d v="2025-05-27T00:00:00"/>
    <x v="3"/>
    <n v="1570"/>
    <n v="55"/>
    <n v="1515"/>
  </r>
  <r>
    <d v="2025-05-28T00:00:00"/>
    <x v="4"/>
    <n v="940"/>
    <n v="227"/>
    <n v="713"/>
  </r>
  <r>
    <d v="2025-05-29T00:00:00"/>
    <x v="5"/>
    <n v="1550"/>
    <n v="615"/>
    <n v="935"/>
  </r>
  <r>
    <d v="2025-05-30T00:00:00"/>
    <x v="6"/>
    <n v="1330"/>
    <n v="133"/>
    <n v="1197"/>
  </r>
  <r>
    <d v="2025-05-31T00:00:00"/>
    <x v="0"/>
    <n v="2250"/>
    <n v="488"/>
    <n v="1762"/>
  </r>
  <r>
    <d v="2025-06-01T00:00:00"/>
    <x v="1"/>
    <n v="1090"/>
    <n v="50"/>
    <n v="1040"/>
  </r>
  <r>
    <d v="2025-06-02T00:00:00"/>
    <x v="2"/>
    <n v="990"/>
    <n v="336"/>
    <n v="654"/>
  </r>
  <r>
    <d v="2025-06-03T00:00:00"/>
    <x v="3"/>
    <n v="780"/>
    <n v="512"/>
    <n v="268"/>
  </r>
  <r>
    <d v="2025-06-04T00:00:00"/>
    <x v="4"/>
    <n v="910"/>
    <n v="185"/>
    <n v="725"/>
  </r>
  <r>
    <d v="2025-06-05T00:00:00"/>
    <x v="5"/>
    <n v="1010"/>
    <n v="466"/>
    <n v="544"/>
  </r>
  <r>
    <d v="2025-06-06T00:00:00"/>
    <x v="6"/>
    <n v="1130"/>
    <n v="107"/>
    <n v="1023"/>
  </r>
  <r>
    <d v="2025-06-07T00:00:00"/>
    <x v="0"/>
    <n v="1790"/>
    <n v="50"/>
    <n v="1740"/>
  </r>
  <r>
    <d v="2025-06-08T00:00:00"/>
    <x v="1"/>
    <n v="2090"/>
    <n v="181"/>
    <n v="1909"/>
  </r>
  <r>
    <d v="2025-06-09T00:00:00"/>
    <x v="2"/>
    <n v="620"/>
    <n v="162"/>
    <n v="458"/>
  </r>
  <r>
    <d v="2025-06-10T00:00:00"/>
    <x v="3"/>
    <n v="1800"/>
    <n v="16517"/>
    <n v="-14717"/>
  </r>
  <r>
    <d v="2025-06-11T00:00:00"/>
    <x v="4"/>
    <n v="890"/>
    <n v="3790"/>
    <n v="-2900"/>
  </r>
  <r>
    <d v="2025-06-12T00:00:00"/>
    <x v="5"/>
    <n v="1490"/>
    <n v="351"/>
    <n v="1139"/>
  </r>
  <r>
    <d v="2025-06-13T00:00:00"/>
    <x v="6"/>
    <n v="1820"/>
    <n v="4100"/>
    <n v="-2280"/>
  </r>
  <r>
    <d v="2025-06-14T00:00:00"/>
    <x v="0"/>
    <n v="1650"/>
    <n v="512"/>
    <n v="1138"/>
  </r>
  <r>
    <d v="2025-06-15T00:00:00"/>
    <x v="1"/>
    <n v="1900"/>
    <n v="141"/>
    <n v="1759"/>
  </r>
  <r>
    <d v="2025-06-16T00:00:00"/>
    <x v="2"/>
    <n v="2100"/>
    <n v="211"/>
    <n v="1889"/>
  </r>
  <r>
    <d v="2025-06-17T00:00:00"/>
    <x v="3"/>
    <n v="1105"/>
    <n v="900"/>
    <n v="205"/>
  </r>
  <r>
    <d v="2025-06-18T00:00:00"/>
    <x v="4"/>
    <n v="1300"/>
    <n v="276"/>
    <n v="1024"/>
  </r>
  <r>
    <d v="2025-06-19T00:00:00"/>
    <x v="5"/>
    <n v="980"/>
    <n v="312"/>
    <n v="668"/>
  </r>
  <r>
    <d v="2025-06-20T00:00:00"/>
    <x v="6"/>
    <n v="450"/>
    <n v="162"/>
    <n v="288"/>
  </r>
  <r>
    <d v="2025-06-21T00:00:00"/>
    <x v="0"/>
    <n v="1310"/>
    <n v="556"/>
    <n v="754"/>
  </r>
  <r>
    <d v="2025-06-22T00:00:00"/>
    <x v="1"/>
    <n v="530"/>
    <n v="10400"/>
    <n v="-9870"/>
  </r>
  <r>
    <d v="2025-06-23T00:00:00"/>
    <x v="2"/>
    <n v="600"/>
    <n v="0"/>
    <n v="600"/>
  </r>
  <r>
    <d v="2025-06-24T00:00:00"/>
    <x v="3"/>
    <n v="1710"/>
    <n v="612"/>
    <n v="1098"/>
  </r>
  <r>
    <d v="2025-06-25T00:00:00"/>
    <x v="4"/>
    <n v="690"/>
    <n v="0"/>
    <n v="690"/>
  </r>
  <r>
    <d v="2025-06-26T00:00:00"/>
    <x v="5"/>
    <n v="1390"/>
    <n v="367"/>
    <n v="1023"/>
  </r>
  <r>
    <d v="2025-06-27T00:00:00"/>
    <x v="6"/>
    <n v="3680"/>
    <n v="190"/>
    <n v="3490"/>
  </r>
  <r>
    <d v="2025-06-28T00:00:00"/>
    <x v="0"/>
    <n v="350"/>
    <n v="0"/>
    <n v="350"/>
  </r>
  <r>
    <d v="2025-06-29T00:00:00"/>
    <x v="1"/>
    <n v="1080"/>
    <n v="464"/>
    <n v="616"/>
  </r>
  <r>
    <d v="2025-06-30T00:00:00"/>
    <x v="2"/>
    <n v="2320"/>
    <n v="50"/>
    <n v="2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6DEBC-C9CC-4E02-B325-A0D31CD6AB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1" firstHeaderRow="0" firstDataRow="1" firstDataCol="1"/>
  <pivotFields count="5">
    <pivotField numFmtId="14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2" subtotal="average" baseField="1" baseItem="0"/>
    <dataField name="Average of Profit" fld="4" subtotal="average" baseField="1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ECA4-8221-461B-B6A7-8447D8FBA1AB}">
  <dimension ref="A1:K151"/>
  <sheetViews>
    <sheetView tabSelected="1" topLeftCell="A121" zoomScale="115" zoomScaleNormal="115" workbookViewId="0">
      <selection activeCell="H143" sqref="H143"/>
    </sheetView>
  </sheetViews>
  <sheetFormatPr defaultRowHeight="14.5" x14ac:dyDescent="0.35"/>
  <cols>
    <col min="1" max="1" width="14.26953125" customWidth="1"/>
    <col min="2" max="2" width="10.453125" customWidth="1"/>
    <col min="5" max="5" width="10.7265625" customWidth="1"/>
    <col min="6" max="6" width="18" bestFit="1" customWidth="1"/>
    <col min="7" max="7" width="11.7265625" bestFit="1" customWidth="1"/>
    <col min="8" max="8" width="11.08984375" bestFit="1" customWidth="1"/>
    <col min="9" max="9" width="12.54296875" bestFit="1" customWidth="1"/>
    <col min="10" max="10" width="6" bestFit="1" customWidth="1"/>
    <col min="11" max="11" width="10.1796875" bestFit="1" customWidth="1"/>
  </cols>
  <sheetData>
    <row r="1" spans="1:11" x14ac:dyDescent="0.35">
      <c r="A1" t="s">
        <v>0</v>
      </c>
      <c r="B1" t="s">
        <v>3</v>
      </c>
      <c r="C1" t="s">
        <v>1</v>
      </c>
      <c r="D1" t="s">
        <v>2</v>
      </c>
      <c r="E1" t="s">
        <v>21</v>
      </c>
      <c r="F1" t="s">
        <v>12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35">
      <c r="A2" s="1">
        <v>45689</v>
      </c>
      <c r="B2" s="1" t="s">
        <v>4</v>
      </c>
      <c r="C2">
        <v>770</v>
      </c>
      <c r="D2">
        <v>525</v>
      </c>
      <c r="E2">
        <f t="shared" ref="E2:E33" si="0">SUM(C2-D2)</f>
        <v>245</v>
      </c>
      <c r="G2">
        <f>D2-H2-I2-J2</f>
        <v>65</v>
      </c>
      <c r="H2">
        <v>460</v>
      </c>
      <c r="I2">
        <v>0</v>
      </c>
      <c r="J2">
        <v>0</v>
      </c>
      <c r="K2">
        <v>0</v>
      </c>
    </row>
    <row r="3" spans="1:11" x14ac:dyDescent="0.35">
      <c r="A3" s="1">
        <v>45690</v>
      </c>
      <c r="B3" s="1" t="s">
        <v>5</v>
      </c>
      <c r="C3">
        <v>3970</v>
      </c>
      <c r="D3">
        <v>1338</v>
      </c>
      <c r="E3">
        <f t="shared" si="0"/>
        <v>2632</v>
      </c>
      <c r="G3">
        <f>D3-H3-I3-J3</f>
        <v>1338</v>
      </c>
      <c r="H3">
        <v>0</v>
      </c>
      <c r="I3">
        <v>0</v>
      </c>
      <c r="J3">
        <v>0</v>
      </c>
      <c r="K3">
        <v>0</v>
      </c>
    </row>
    <row r="4" spans="1:11" x14ac:dyDescent="0.35">
      <c r="A4" s="1">
        <v>45691</v>
      </c>
      <c r="B4" s="1" t="s">
        <v>6</v>
      </c>
      <c r="C4">
        <v>310</v>
      </c>
      <c r="D4">
        <v>50</v>
      </c>
      <c r="E4">
        <f t="shared" si="0"/>
        <v>260</v>
      </c>
      <c r="G4">
        <f t="shared" ref="G4:G67" si="1">D4-H4-I4-J4</f>
        <v>50</v>
      </c>
      <c r="H4">
        <v>0</v>
      </c>
      <c r="I4">
        <v>0</v>
      </c>
      <c r="J4">
        <v>0</v>
      </c>
      <c r="K4">
        <v>0</v>
      </c>
    </row>
    <row r="5" spans="1:11" x14ac:dyDescent="0.35">
      <c r="A5" s="1">
        <v>45692</v>
      </c>
      <c r="B5" s="1" t="s">
        <v>7</v>
      </c>
      <c r="C5">
        <v>740</v>
      </c>
      <c r="D5">
        <v>156</v>
      </c>
      <c r="E5">
        <f t="shared" si="0"/>
        <v>584</v>
      </c>
      <c r="G5">
        <f t="shared" si="1"/>
        <v>156</v>
      </c>
      <c r="H5">
        <v>0</v>
      </c>
      <c r="I5">
        <v>0</v>
      </c>
      <c r="J5">
        <v>0</v>
      </c>
      <c r="K5">
        <v>0</v>
      </c>
    </row>
    <row r="6" spans="1:11" x14ac:dyDescent="0.35">
      <c r="A6" s="1">
        <v>45693</v>
      </c>
      <c r="B6" s="1" t="s">
        <v>8</v>
      </c>
      <c r="C6">
        <v>1250</v>
      </c>
      <c r="D6">
        <v>147</v>
      </c>
      <c r="E6">
        <f t="shared" si="0"/>
        <v>1103</v>
      </c>
      <c r="G6">
        <f t="shared" si="1"/>
        <v>147</v>
      </c>
      <c r="H6">
        <v>0</v>
      </c>
      <c r="I6">
        <v>0</v>
      </c>
      <c r="J6">
        <v>0</v>
      </c>
      <c r="K6">
        <v>0</v>
      </c>
    </row>
    <row r="7" spans="1:11" x14ac:dyDescent="0.35">
      <c r="A7" s="1">
        <v>45694</v>
      </c>
      <c r="B7" s="1" t="s">
        <v>9</v>
      </c>
      <c r="C7">
        <v>1020</v>
      </c>
      <c r="D7">
        <v>15842</v>
      </c>
      <c r="E7">
        <f t="shared" si="0"/>
        <v>-14822</v>
      </c>
      <c r="F7" t="s">
        <v>13</v>
      </c>
      <c r="G7">
        <f t="shared" si="1"/>
        <v>842</v>
      </c>
      <c r="H7">
        <v>0</v>
      </c>
      <c r="I7">
        <v>15000</v>
      </c>
      <c r="J7">
        <v>0</v>
      </c>
      <c r="K7">
        <v>0</v>
      </c>
    </row>
    <row r="8" spans="1:11" x14ac:dyDescent="0.35">
      <c r="A8" s="1">
        <v>45695</v>
      </c>
      <c r="B8" s="1" t="s">
        <v>10</v>
      </c>
      <c r="C8">
        <v>460</v>
      </c>
      <c r="D8">
        <v>50</v>
      </c>
      <c r="E8">
        <f t="shared" si="0"/>
        <v>410</v>
      </c>
      <c r="G8">
        <f t="shared" si="1"/>
        <v>50</v>
      </c>
      <c r="H8">
        <v>0</v>
      </c>
      <c r="I8">
        <v>0</v>
      </c>
      <c r="J8">
        <v>0</v>
      </c>
      <c r="K8">
        <v>0</v>
      </c>
    </row>
    <row r="9" spans="1:11" x14ac:dyDescent="0.35">
      <c r="A9" s="1">
        <v>45696</v>
      </c>
      <c r="B9" s="1" t="s">
        <v>4</v>
      </c>
      <c r="C9">
        <v>1290</v>
      </c>
      <c r="D9">
        <v>1526</v>
      </c>
      <c r="E9">
        <f t="shared" si="0"/>
        <v>-236</v>
      </c>
      <c r="G9">
        <f t="shared" si="1"/>
        <v>526</v>
      </c>
      <c r="H9">
        <v>1000</v>
      </c>
      <c r="I9">
        <v>0</v>
      </c>
      <c r="J9">
        <v>0</v>
      </c>
      <c r="K9">
        <v>0</v>
      </c>
    </row>
    <row r="10" spans="1:11" x14ac:dyDescent="0.35">
      <c r="A10" s="1">
        <v>45697</v>
      </c>
      <c r="B10" s="1" t="s">
        <v>5</v>
      </c>
      <c r="C10">
        <v>270</v>
      </c>
      <c r="D10">
        <v>90</v>
      </c>
      <c r="E10">
        <f t="shared" si="0"/>
        <v>180</v>
      </c>
      <c r="G10">
        <f t="shared" si="1"/>
        <v>90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s="1">
        <v>45698</v>
      </c>
      <c r="B11" s="1" t="s">
        <v>6</v>
      </c>
      <c r="C11">
        <v>0</v>
      </c>
      <c r="D11">
        <v>0</v>
      </c>
      <c r="E11">
        <f t="shared" si="0"/>
        <v>0</v>
      </c>
      <c r="G11">
        <f t="shared" si="1"/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s="1">
        <v>45699</v>
      </c>
      <c r="B12" s="1" t="s">
        <v>7</v>
      </c>
      <c r="C12">
        <v>1300</v>
      </c>
      <c r="D12">
        <v>368</v>
      </c>
      <c r="E12">
        <f t="shared" si="0"/>
        <v>932</v>
      </c>
      <c r="G12">
        <f t="shared" si="1"/>
        <v>368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s="1">
        <v>45700</v>
      </c>
      <c r="B13" s="1" t="s">
        <v>8</v>
      </c>
      <c r="C13">
        <v>490</v>
      </c>
      <c r="D13">
        <v>330</v>
      </c>
      <c r="E13">
        <f t="shared" si="0"/>
        <v>160</v>
      </c>
      <c r="G13">
        <f t="shared" si="1"/>
        <v>330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s="1">
        <v>45701</v>
      </c>
      <c r="B14" s="1" t="s">
        <v>9</v>
      </c>
      <c r="C14">
        <v>1620</v>
      </c>
      <c r="D14">
        <v>246</v>
      </c>
      <c r="E14">
        <f t="shared" si="0"/>
        <v>1374</v>
      </c>
      <c r="G14">
        <f t="shared" si="1"/>
        <v>246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s="1">
        <v>45702</v>
      </c>
      <c r="B15" s="1" t="s">
        <v>10</v>
      </c>
      <c r="C15">
        <v>210</v>
      </c>
      <c r="D15">
        <v>427</v>
      </c>
      <c r="E15">
        <f t="shared" si="0"/>
        <v>-217</v>
      </c>
      <c r="G15">
        <f t="shared" si="1"/>
        <v>427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s="1">
        <v>45703</v>
      </c>
      <c r="B16" s="1" t="s">
        <v>4</v>
      </c>
      <c r="C16">
        <v>910</v>
      </c>
      <c r="D16">
        <v>556</v>
      </c>
      <c r="E16">
        <f t="shared" si="0"/>
        <v>354</v>
      </c>
      <c r="G16">
        <f t="shared" si="1"/>
        <v>556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s="1">
        <v>45704</v>
      </c>
      <c r="B17" s="1" t="s">
        <v>5</v>
      </c>
      <c r="C17">
        <v>2590</v>
      </c>
      <c r="D17">
        <v>210</v>
      </c>
      <c r="E17">
        <f t="shared" si="0"/>
        <v>2380</v>
      </c>
      <c r="G17">
        <f t="shared" si="1"/>
        <v>210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s="1">
        <v>45705</v>
      </c>
      <c r="B18" s="1" t="s">
        <v>6</v>
      </c>
      <c r="C18">
        <v>610</v>
      </c>
      <c r="D18">
        <v>853</v>
      </c>
      <c r="E18">
        <f t="shared" si="0"/>
        <v>-243</v>
      </c>
      <c r="G18">
        <f t="shared" si="1"/>
        <v>853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s="1">
        <v>45706</v>
      </c>
      <c r="B19" s="1" t="s">
        <v>7</v>
      </c>
      <c r="C19">
        <v>420</v>
      </c>
      <c r="D19">
        <v>1379</v>
      </c>
      <c r="E19">
        <f t="shared" si="0"/>
        <v>-959</v>
      </c>
      <c r="G19">
        <f t="shared" si="1"/>
        <v>105</v>
      </c>
      <c r="H19">
        <v>1274</v>
      </c>
      <c r="I19">
        <v>0</v>
      </c>
      <c r="J19">
        <v>0</v>
      </c>
      <c r="K19">
        <v>0</v>
      </c>
    </row>
    <row r="20" spans="1:11" x14ac:dyDescent="0.35">
      <c r="A20" s="1">
        <v>45707</v>
      </c>
      <c r="B20" s="1" t="s">
        <v>8</v>
      </c>
      <c r="C20">
        <v>1200</v>
      </c>
      <c r="D20">
        <v>916</v>
      </c>
      <c r="E20">
        <f t="shared" si="0"/>
        <v>284</v>
      </c>
      <c r="G20">
        <f t="shared" si="1"/>
        <v>916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s="1">
        <v>45708</v>
      </c>
      <c r="B21" s="1" t="s">
        <v>9</v>
      </c>
      <c r="C21">
        <v>200</v>
      </c>
      <c r="D21">
        <v>81</v>
      </c>
      <c r="E21">
        <f t="shared" si="0"/>
        <v>119</v>
      </c>
      <c r="G21">
        <f t="shared" si="1"/>
        <v>81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s="1">
        <v>45709</v>
      </c>
      <c r="B22" s="1" t="s">
        <v>10</v>
      </c>
      <c r="C22">
        <v>410</v>
      </c>
      <c r="D22">
        <v>20</v>
      </c>
      <c r="E22">
        <f t="shared" si="0"/>
        <v>390</v>
      </c>
      <c r="G22">
        <f t="shared" si="1"/>
        <v>20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s="1">
        <v>45710</v>
      </c>
      <c r="B23" s="1" t="s">
        <v>4</v>
      </c>
      <c r="C23">
        <v>380</v>
      </c>
      <c r="D23">
        <v>80</v>
      </c>
      <c r="E23">
        <f t="shared" si="0"/>
        <v>300</v>
      </c>
      <c r="G23">
        <f t="shared" si="1"/>
        <v>80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s="1">
        <v>45711</v>
      </c>
      <c r="B24" s="1" t="s">
        <v>5</v>
      </c>
      <c r="C24">
        <v>190</v>
      </c>
      <c r="D24">
        <v>0</v>
      </c>
      <c r="E24">
        <f t="shared" si="0"/>
        <v>190</v>
      </c>
      <c r="G24">
        <f t="shared" si="1"/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s="1">
        <v>45712</v>
      </c>
      <c r="B25" s="1" t="s">
        <v>6</v>
      </c>
      <c r="C25">
        <v>1470</v>
      </c>
      <c r="D25">
        <v>96</v>
      </c>
      <c r="E25">
        <f t="shared" si="0"/>
        <v>1374</v>
      </c>
      <c r="G25">
        <f t="shared" si="1"/>
        <v>96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s="1">
        <v>45713</v>
      </c>
      <c r="B26" s="1" t="s">
        <v>7</v>
      </c>
      <c r="C26">
        <v>150</v>
      </c>
      <c r="D26">
        <v>105</v>
      </c>
      <c r="E26">
        <f t="shared" si="0"/>
        <v>45</v>
      </c>
      <c r="G26">
        <f t="shared" si="1"/>
        <v>105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s="1">
        <v>45714</v>
      </c>
      <c r="B27" s="1" t="s">
        <v>8</v>
      </c>
      <c r="C27">
        <v>780</v>
      </c>
      <c r="D27">
        <v>110</v>
      </c>
      <c r="E27">
        <f t="shared" si="0"/>
        <v>670</v>
      </c>
      <c r="G27">
        <f t="shared" si="1"/>
        <v>110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s="1">
        <v>45715</v>
      </c>
      <c r="B28" s="1" t="s">
        <v>9</v>
      </c>
      <c r="C28">
        <v>170</v>
      </c>
      <c r="D28">
        <v>0</v>
      </c>
      <c r="E28">
        <f t="shared" si="0"/>
        <v>170</v>
      </c>
      <c r="G28">
        <f t="shared" si="1"/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s="1">
        <v>45716</v>
      </c>
      <c r="B29" s="1" t="s">
        <v>10</v>
      </c>
      <c r="C29">
        <v>0</v>
      </c>
      <c r="D29">
        <v>0</v>
      </c>
      <c r="E29">
        <f t="shared" si="0"/>
        <v>0</v>
      </c>
      <c r="F29" t="s">
        <v>11</v>
      </c>
      <c r="G29">
        <f t="shared" si="1"/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s="1">
        <v>45717</v>
      </c>
      <c r="B30" s="1" t="s">
        <v>4</v>
      </c>
      <c r="C30">
        <v>0</v>
      </c>
      <c r="D30">
        <v>0</v>
      </c>
      <c r="E30">
        <f t="shared" si="0"/>
        <v>0</v>
      </c>
      <c r="F30" t="s">
        <v>11</v>
      </c>
      <c r="G30">
        <f t="shared" si="1"/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s="1">
        <v>45718</v>
      </c>
      <c r="B31" s="1" t="s">
        <v>5</v>
      </c>
      <c r="C31">
        <v>0</v>
      </c>
      <c r="D31">
        <v>0</v>
      </c>
      <c r="E31">
        <f t="shared" si="0"/>
        <v>0</v>
      </c>
      <c r="F31" t="s">
        <v>11</v>
      </c>
      <c r="G31">
        <f t="shared" si="1"/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s="1">
        <v>45719</v>
      </c>
      <c r="B32" s="1" t="s">
        <v>6</v>
      </c>
      <c r="C32">
        <v>660</v>
      </c>
      <c r="D32">
        <v>396</v>
      </c>
      <c r="E32">
        <f t="shared" si="0"/>
        <v>264</v>
      </c>
      <c r="G32">
        <f t="shared" si="1"/>
        <v>396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s="1">
        <v>45720</v>
      </c>
      <c r="B33" s="1" t="s">
        <v>7</v>
      </c>
      <c r="C33">
        <v>2360</v>
      </c>
      <c r="D33">
        <v>218</v>
      </c>
      <c r="E33">
        <f t="shared" si="0"/>
        <v>2142</v>
      </c>
      <c r="G33">
        <f t="shared" si="1"/>
        <v>218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s="1">
        <v>45721</v>
      </c>
      <c r="B34" s="1" t="s">
        <v>8</v>
      </c>
      <c r="C34">
        <v>1130</v>
      </c>
      <c r="D34">
        <v>0</v>
      </c>
      <c r="E34">
        <f t="shared" ref="E34:E65" si="2">SUM(C34-D34)</f>
        <v>1130</v>
      </c>
      <c r="G34">
        <f t="shared" si="1"/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s="1">
        <v>45722</v>
      </c>
      <c r="B35" s="1" t="s">
        <v>9</v>
      </c>
      <c r="C35">
        <v>1660</v>
      </c>
      <c r="D35">
        <v>162</v>
      </c>
      <c r="E35">
        <f t="shared" si="2"/>
        <v>1498</v>
      </c>
      <c r="G35">
        <f t="shared" si="1"/>
        <v>162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 s="1">
        <v>45723</v>
      </c>
      <c r="B36" s="1" t="s">
        <v>10</v>
      </c>
      <c r="C36">
        <v>2170</v>
      </c>
      <c r="D36">
        <v>1572</v>
      </c>
      <c r="E36">
        <f t="shared" si="2"/>
        <v>598</v>
      </c>
      <c r="G36">
        <f t="shared" si="1"/>
        <v>1572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s="1">
        <v>45724</v>
      </c>
      <c r="B37" s="1" t="s">
        <v>4</v>
      </c>
      <c r="C37">
        <v>2830</v>
      </c>
      <c r="D37">
        <v>1416</v>
      </c>
      <c r="E37">
        <f t="shared" si="2"/>
        <v>1414</v>
      </c>
      <c r="G37">
        <f t="shared" si="1"/>
        <v>1416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 s="1">
        <v>45725</v>
      </c>
      <c r="B38" s="1" t="s">
        <v>5</v>
      </c>
      <c r="C38">
        <v>1850</v>
      </c>
      <c r="D38">
        <v>1175</v>
      </c>
      <c r="E38">
        <f t="shared" si="2"/>
        <v>675</v>
      </c>
      <c r="G38">
        <f t="shared" si="1"/>
        <v>1175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 s="1">
        <v>45726</v>
      </c>
      <c r="B39" s="1" t="s">
        <v>6</v>
      </c>
      <c r="C39">
        <v>1640</v>
      </c>
      <c r="D39">
        <v>50</v>
      </c>
      <c r="E39">
        <f t="shared" si="2"/>
        <v>1590</v>
      </c>
      <c r="G39">
        <f t="shared" si="1"/>
        <v>50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 s="1">
        <v>45727</v>
      </c>
      <c r="B40" s="1" t="s">
        <v>7</v>
      </c>
      <c r="C40">
        <v>6200</v>
      </c>
      <c r="D40">
        <v>1591</v>
      </c>
      <c r="E40">
        <f t="shared" si="2"/>
        <v>4609</v>
      </c>
      <c r="G40">
        <f t="shared" si="1"/>
        <v>1496</v>
      </c>
      <c r="H40">
        <v>95</v>
      </c>
      <c r="I40">
        <v>0</v>
      </c>
      <c r="J40">
        <v>0</v>
      </c>
      <c r="K40">
        <v>0</v>
      </c>
    </row>
    <row r="41" spans="1:11" x14ac:dyDescent="0.35">
      <c r="A41" s="1">
        <v>45728</v>
      </c>
      <c r="B41" s="1" t="s">
        <v>8</v>
      </c>
      <c r="C41">
        <v>930</v>
      </c>
      <c r="D41">
        <v>590</v>
      </c>
      <c r="E41">
        <f t="shared" si="2"/>
        <v>340</v>
      </c>
      <c r="G41">
        <f t="shared" si="1"/>
        <v>590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 s="1">
        <v>45729</v>
      </c>
      <c r="B42" s="1" t="s">
        <v>9</v>
      </c>
      <c r="C42">
        <v>2860</v>
      </c>
      <c r="D42">
        <v>287</v>
      </c>
      <c r="E42">
        <f t="shared" si="2"/>
        <v>2573</v>
      </c>
      <c r="G42">
        <f t="shared" si="1"/>
        <v>287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 s="1">
        <v>45730</v>
      </c>
      <c r="B43" s="1" t="s">
        <v>10</v>
      </c>
      <c r="C43">
        <v>0</v>
      </c>
      <c r="D43">
        <v>0</v>
      </c>
      <c r="E43">
        <f t="shared" si="2"/>
        <v>0</v>
      </c>
      <c r="G43">
        <f t="shared" si="1"/>
        <v>0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 s="1">
        <v>45731</v>
      </c>
      <c r="B44" s="1" t="s">
        <v>4</v>
      </c>
      <c r="C44">
        <v>3440</v>
      </c>
      <c r="D44">
        <v>3800</v>
      </c>
      <c r="E44">
        <f t="shared" si="2"/>
        <v>-360</v>
      </c>
      <c r="G44">
        <f t="shared" si="1"/>
        <v>3800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 s="1">
        <v>45732</v>
      </c>
      <c r="B45" s="1" t="s">
        <v>5</v>
      </c>
      <c r="C45">
        <v>1440</v>
      </c>
      <c r="D45">
        <v>134</v>
      </c>
      <c r="E45">
        <f t="shared" si="2"/>
        <v>1306</v>
      </c>
      <c r="G45">
        <f t="shared" si="1"/>
        <v>134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s="1">
        <v>45733</v>
      </c>
      <c r="B46" s="1" t="s">
        <v>6</v>
      </c>
      <c r="C46">
        <v>2220</v>
      </c>
      <c r="D46">
        <v>877</v>
      </c>
      <c r="E46">
        <f t="shared" si="2"/>
        <v>1343</v>
      </c>
      <c r="G46">
        <f t="shared" si="1"/>
        <v>877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 s="1">
        <v>45734</v>
      </c>
      <c r="B47" s="1" t="s">
        <v>7</v>
      </c>
      <c r="C47">
        <v>2770</v>
      </c>
      <c r="D47">
        <v>480</v>
      </c>
      <c r="E47">
        <f t="shared" si="2"/>
        <v>2290</v>
      </c>
      <c r="G47">
        <f t="shared" si="1"/>
        <v>480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 s="1">
        <v>45735</v>
      </c>
      <c r="B48" s="1" t="s">
        <v>8</v>
      </c>
      <c r="C48">
        <v>1240</v>
      </c>
      <c r="D48">
        <v>970</v>
      </c>
      <c r="E48">
        <f t="shared" si="2"/>
        <v>270</v>
      </c>
      <c r="G48">
        <f t="shared" si="1"/>
        <v>970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 s="1">
        <v>45736</v>
      </c>
      <c r="B49" s="1" t="s">
        <v>9</v>
      </c>
      <c r="C49">
        <v>1070</v>
      </c>
      <c r="D49">
        <v>1654</v>
      </c>
      <c r="E49">
        <f t="shared" si="2"/>
        <v>-584</v>
      </c>
      <c r="G49">
        <f t="shared" si="1"/>
        <v>1654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 s="1">
        <v>45737</v>
      </c>
      <c r="B50" s="1" t="s">
        <v>10</v>
      </c>
      <c r="C50">
        <v>2430</v>
      </c>
      <c r="D50">
        <v>824</v>
      </c>
      <c r="E50">
        <f t="shared" si="2"/>
        <v>1606</v>
      </c>
      <c r="G50">
        <f t="shared" si="1"/>
        <v>824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 s="1">
        <v>45738</v>
      </c>
      <c r="B51" s="1" t="s">
        <v>4</v>
      </c>
      <c r="C51">
        <v>3970</v>
      </c>
      <c r="D51">
        <v>977</v>
      </c>
      <c r="E51">
        <f t="shared" si="2"/>
        <v>2993</v>
      </c>
      <c r="G51">
        <f t="shared" si="1"/>
        <v>877</v>
      </c>
      <c r="H51">
        <v>100</v>
      </c>
      <c r="I51">
        <v>0</v>
      </c>
      <c r="J51">
        <v>0</v>
      </c>
      <c r="K51">
        <v>0</v>
      </c>
    </row>
    <row r="52" spans="1:11" x14ac:dyDescent="0.35">
      <c r="A52" s="1">
        <v>45739</v>
      </c>
      <c r="B52" s="1" t="s">
        <v>5</v>
      </c>
      <c r="C52">
        <v>1030</v>
      </c>
      <c r="D52">
        <v>1000</v>
      </c>
      <c r="E52">
        <f t="shared" si="2"/>
        <v>30</v>
      </c>
      <c r="G52">
        <f t="shared" si="1"/>
        <v>1000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 s="1">
        <v>45740</v>
      </c>
      <c r="B53" s="1" t="s">
        <v>6</v>
      </c>
      <c r="C53">
        <v>2390</v>
      </c>
      <c r="D53">
        <v>150</v>
      </c>
      <c r="E53">
        <f t="shared" si="2"/>
        <v>2240</v>
      </c>
      <c r="G53">
        <f t="shared" si="1"/>
        <v>150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 s="1">
        <v>45741</v>
      </c>
      <c r="B54" s="1" t="s">
        <v>7</v>
      </c>
      <c r="C54">
        <v>1510</v>
      </c>
      <c r="D54">
        <v>770</v>
      </c>
      <c r="E54">
        <f t="shared" si="2"/>
        <v>740</v>
      </c>
      <c r="G54">
        <f t="shared" si="1"/>
        <v>770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 s="1">
        <v>45742</v>
      </c>
      <c r="B55" s="1" t="s">
        <v>8</v>
      </c>
      <c r="C55">
        <v>1690</v>
      </c>
      <c r="D55">
        <v>7740</v>
      </c>
      <c r="E55">
        <f t="shared" si="2"/>
        <v>-6050</v>
      </c>
      <c r="G55">
        <f t="shared" si="1"/>
        <v>2690</v>
      </c>
      <c r="H55">
        <v>0</v>
      </c>
      <c r="I55">
        <v>5050</v>
      </c>
      <c r="J55">
        <v>0</v>
      </c>
      <c r="K55">
        <v>0</v>
      </c>
    </row>
    <row r="56" spans="1:11" x14ac:dyDescent="0.35">
      <c r="A56" s="1">
        <v>45743</v>
      </c>
      <c r="B56" s="1" t="s">
        <v>9</v>
      </c>
      <c r="C56">
        <v>2320</v>
      </c>
      <c r="D56">
        <v>370</v>
      </c>
      <c r="E56">
        <f t="shared" si="2"/>
        <v>1950</v>
      </c>
      <c r="G56">
        <f t="shared" si="1"/>
        <v>271</v>
      </c>
      <c r="H56">
        <v>99</v>
      </c>
      <c r="I56">
        <v>0</v>
      </c>
      <c r="J56">
        <v>0</v>
      </c>
      <c r="K56">
        <v>0</v>
      </c>
    </row>
    <row r="57" spans="1:11" x14ac:dyDescent="0.35">
      <c r="A57" s="1">
        <v>45744</v>
      </c>
      <c r="B57" s="1" t="s">
        <v>10</v>
      </c>
      <c r="C57">
        <v>3050</v>
      </c>
      <c r="D57">
        <v>590</v>
      </c>
      <c r="E57">
        <f t="shared" si="2"/>
        <v>2460</v>
      </c>
      <c r="G57">
        <f t="shared" si="1"/>
        <v>590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 s="1">
        <v>45745</v>
      </c>
      <c r="B58" s="1" t="s">
        <v>4</v>
      </c>
      <c r="C58">
        <v>2800</v>
      </c>
      <c r="D58">
        <v>313</v>
      </c>
      <c r="E58">
        <f t="shared" si="2"/>
        <v>2487</v>
      </c>
      <c r="G58">
        <f t="shared" si="1"/>
        <v>313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 s="1">
        <v>45746</v>
      </c>
      <c r="B59" s="1" t="s">
        <v>5</v>
      </c>
      <c r="C59">
        <v>1160</v>
      </c>
      <c r="D59">
        <v>156</v>
      </c>
      <c r="E59">
        <f t="shared" si="2"/>
        <v>1004</v>
      </c>
      <c r="G59">
        <f t="shared" si="1"/>
        <v>156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 s="1">
        <v>45747</v>
      </c>
      <c r="B60" s="1" t="s">
        <v>6</v>
      </c>
      <c r="C60">
        <v>1820</v>
      </c>
      <c r="D60">
        <v>246</v>
      </c>
      <c r="E60">
        <f t="shared" si="2"/>
        <v>1574</v>
      </c>
      <c r="G60">
        <f t="shared" si="1"/>
        <v>246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 s="1">
        <v>45748</v>
      </c>
      <c r="B61" s="1" t="s">
        <v>7</v>
      </c>
      <c r="C61">
        <v>1620</v>
      </c>
      <c r="D61">
        <v>992</v>
      </c>
      <c r="E61">
        <f t="shared" si="2"/>
        <v>628</v>
      </c>
      <c r="G61">
        <f t="shared" si="1"/>
        <v>898</v>
      </c>
      <c r="H61">
        <v>94</v>
      </c>
      <c r="I61">
        <v>0</v>
      </c>
      <c r="J61">
        <v>0</v>
      </c>
      <c r="K61">
        <v>0</v>
      </c>
    </row>
    <row r="62" spans="1:11" x14ac:dyDescent="0.35">
      <c r="A62" s="1">
        <v>45749</v>
      </c>
      <c r="B62" s="1" t="s">
        <v>8</v>
      </c>
      <c r="C62">
        <v>1490</v>
      </c>
      <c r="D62">
        <v>50</v>
      </c>
      <c r="E62">
        <f t="shared" si="2"/>
        <v>1440</v>
      </c>
      <c r="G62">
        <f t="shared" si="1"/>
        <v>50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 s="1">
        <v>45750</v>
      </c>
      <c r="B63" s="1" t="s">
        <v>9</v>
      </c>
      <c r="C63">
        <v>740</v>
      </c>
      <c r="D63">
        <v>900</v>
      </c>
      <c r="E63">
        <f t="shared" si="2"/>
        <v>-160</v>
      </c>
      <c r="G63">
        <f t="shared" si="1"/>
        <v>900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 s="1">
        <v>45751</v>
      </c>
      <c r="B64" s="1" t="s">
        <v>10</v>
      </c>
      <c r="C64">
        <v>1560</v>
      </c>
      <c r="D64">
        <v>744</v>
      </c>
      <c r="E64">
        <f t="shared" si="2"/>
        <v>816</v>
      </c>
      <c r="G64">
        <f t="shared" si="1"/>
        <v>744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 s="1">
        <v>45752</v>
      </c>
      <c r="B65" s="1" t="s">
        <v>4</v>
      </c>
      <c r="C65">
        <v>3905</v>
      </c>
      <c r="D65">
        <v>27267</v>
      </c>
      <c r="E65">
        <f t="shared" si="2"/>
        <v>-23362</v>
      </c>
      <c r="F65" t="s">
        <v>14</v>
      </c>
      <c r="G65">
        <f t="shared" si="1"/>
        <v>267</v>
      </c>
      <c r="H65">
        <v>0</v>
      </c>
      <c r="I65">
        <v>15000</v>
      </c>
      <c r="J65">
        <v>12000</v>
      </c>
      <c r="K65">
        <v>0</v>
      </c>
    </row>
    <row r="66" spans="1:11" x14ac:dyDescent="0.35">
      <c r="A66" s="1">
        <v>45753</v>
      </c>
      <c r="B66" s="1" t="s">
        <v>5</v>
      </c>
      <c r="C66">
        <v>1470</v>
      </c>
      <c r="D66">
        <v>1705</v>
      </c>
      <c r="E66">
        <f t="shared" ref="E66:E80" si="3">SUM(C66-D66)</f>
        <v>-235</v>
      </c>
      <c r="G66">
        <f t="shared" si="1"/>
        <v>1615</v>
      </c>
      <c r="H66">
        <v>90</v>
      </c>
      <c r="I66">
        <v>0</v>
      </c>
      <c r="J66">
        <v>0</v>
      </c>
      <c r="K66">
        <v>0</v>
      </c>
    </row>
    <row r="67" spans="1:11" x14ac:dyDescent="0.35">
      <c r="A67" s="1">
        <v>45754</v>
      </c>
      <c r="B67" s="1" t="s">
        <v>6</v>
      </c>
      <c r="C67">
        <v>1650</v>
      </c>
      <c r="D67">
        <v>2074</v>
      </c>
      <c r="E67">
        <f t="shared" si="3"/>
        <v>-424</v>
      </c>
      <c r="G67">
        <f t="shared" si="1"/>
        <v>2074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 s="1">
        <v>45755</v>
      </c>
      <c r="B68" s="1" t="s">
        <v>7</v>
      </c>
      <c r="C68">
        <v>690</v>
      </c>
      <c r="D68">
        <v>165</v>
      </c>
      <c r="E68">
        <f t="shared" si="3"/>
        <v>525</v>
      </c>
      <c r="G68">
        <f t="shared" ref="G68:G131" si="4">D68-H68-I68-J68</f>
        <v>165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 s="1">
        <v>45756</v>
      </c>
      <c r="B69" s="1" t="s">
        <v>8</v>
      </c>
      <c r="C69">
        <v>1590</v>
      </c>
      <c r="D69">
        <v>3005</v>
      </c>
      <c r="E69">
        <f t="shared" si="3"/>
        <v>-1415</v>
      </c>
      <c r="G69">
        <f t="shared" si="4"/>
        <v>560</v>
      </c>
      <c r="H69">
        <v>2445</v>
      </c>
      <c r="I69">
        <v>0</v>
      </c>
      <c r="J69">
        <v>0</v>
      </c>
      <c r="K69">
        <v>0</v>
      </c>
    </row>
    <row r="70" spans="1:11" x14ac:dyDescent="0.35">
      <c r="A70" s="1">
        <v>45757</v>
      </c>
      <c r="B70" s="1" t="s">
        <v>9</v>
      </c>
      <c r="C70">
        <v>730</v>
      </c>
      <c r="D70">
        <v>80</v>
      </c>
      <c r="E70">
        <f t="shared" si="3"/>
        <v>650</v>
      </c>
      <c r="G70">
        <f t="shared" si="4"/>
        <v>80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 s="1">
        <v>45758</v>
      </c>
      <c r="B71" s="1" t="s">
        <v>10</v>
      </c>
      <c r="C71">
        <v>960</v>
      </c>
      <c r="D71">
        <v>1684</v>
      </c>
      <c r="E71">
        <f t="shared" si="3"/>
        <v>-724</v>
      </c>
      <c r="G71">
        <f t="shared" si="4"/>
        <v>1684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 s="1">
        <v>45759</v>
      </c>
      <c r="B72" s="1" t="s">
        <v>4</v>
      </c>
      <c r="C72">
        <v>1000</v>
      </c>
      <c r="D72">
        <v>850</v>
      </c>
      <c r="E72">
        <f t="shared" si="3"/>
        <v>150</v>
      </c>
      <c r="G72">
        <f t="shared" si="4"/>
        <v>350</v>
      </c>
      <c r="H72">
        <v>0</v>
      </c>
      <c r="I72">
        <v>500</v>
      </c>
      <c r="J72">
        <v>0</v>
      </c>
      <c r="K72">
        <v>0</v>
      </c>
    </row>
    <row r="73" spans="1:11" x14ac:dyDescent="0.35">
      <c r="A73" s="1">
        <v>45760</v>
      </c>
      <c r="B73" s="1" t="s">
        <v>5</v>
      </c>
      <c r="C73">
        <v>1364</v>
      </c>
      <c r="D73">
        <v>116</v>
      </c>
      <c r="E73">
        <f t="shared" si="3"/>
        <v>1248</v>
      </c>
      <c r="G73">
        <f t="shared" si="4"/>
        <v>116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 s="1">
        <v>45761</v>
      </c>
      <c r="B74" s="1" t="s">
        <v>6</v>
      </c>
      <c r="C74">
        <v>2620</v>
      </c>
      <c r="D74">
        <v>156</v>
      </c>
      <c r="E74">
        <f t="shared" si="3"/>
        <v>2464</v>
      </c>
      <c r="G74">
        <f t="shared" si="4"/>
        <v>156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 s="1">
        <v>45762</v>
      </c>
      <c r="B75" s="1" t="s">
        <v>7</v>
      </c>
      <c r="C75">
        <v>2780</v>
      </c>
      <c r="D75">
        <v>2930</v>
      </c>
      <c r="E75">
        <f t="shared" si="3"/>
        <v>-150</v>
      </c>
      <c r="G75">
        <f t="shared" si="4"/>
        <v>2543</v>
      </c>
      <c r="H75">
        <v>0</v>
      </c>
      <c r="I75">
        <v>387</v>
      </c>
      <c r="J75">
        <v>0</v>
      </c>
      <c r="K75">
        <v>0</v>
      </c>
    </row>
    <row r="76" spans="1:11" x14ac:dyDescent="0.35">
      <c r="A76" s="1">
        <v>45763</v>
      </c>
      <c r="B76" s="1" t="s">
        <v>8</v>
      </c>
      <c r="C76">
        <v>1400</v>
      </c>
      <c r="D76">
        <v>615</v>
      </c>
      <c r="E76">
        <f t="shared" si="3"/>
        <v>785</v>
      </c>
      <c r="G76">
        <f t="shared" si="4"/>
        <v>615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 s="1">
        <v>45764</v>
      </c>
      <c r="B77" s="1" t="s">
        <v>9</v>
      </c>
      <c r="C77">
        <v>1710</v>
      </c>
      <c r="D77">
        <v>55</v>
      </c>
      <c r="E77">
        <f t="shared" si="3"/>
        <v>1655</v>
      </c>
      <c r="G77">
        <f t="shared" si="4"/>
        <v>55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 s="1">
        <v>45765</v>
      </c>
      <c r="B78" s="1" t="s">
        <v>10</v>
      </c>
      <c r="C78">
        <v>1330</v>
      </c>
      <c r="D78">
        <v>564</v>
      </c>
      <c r="E78">
        <f t="shared" si="3"/>
        <v>766</v>
      </c>
      <c r="G78">
        <f t="shared" si="4"/>
        <v>474</v>
      </c>
      <c r="H78">
        <v>0</v>
      </c>
      <c r="I78">
        <v>90</v>
      </c>
      <c r="J78">
        <v>0</v>
      </c>
      <c r="K78">
        <v>0</v>
      </c>
    </row>
    <row r="79" spans="1:11" x14ac:dyDescent="0.35">
      <c r="A79" s="1">
        <v>45766</v>
      </c>
      <c r="B79" s="1" t="s">
        <v>4</v>
      </c>
      <c r="C79">
        <v>1310</v>
      </c>
      <c r="D79">
        <v>250</v>
      </c>
      <c r="E79">
        <f t="shared" si="3"/>
        <v>1060</v>
      </c>
      <c r="G79">
        <f t="shared" si="4"/>
        <v>250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 s="1">
        <v>45767</v>
      </c>
      <c r="B80" s="1" t="s">
        <v>5</v>
      </c>
      <c r="C80">
        <v>2330</v>
      </c>
      <c r="D80">
        <v>3259</v>
      </c>
      <c r="E80">
        <f t="shared" si="3"/>
        <v>-929</v>
      </c>
      <c r="G80">
        <f t="shared" si="4"/>
        <v>409</v>
      </c>
      <c r="H80">
        <v>0</v>
      </c>
      <c r="I80">
        <v>2850</v>
      </c>
      <c r="J80">
        <v>0</v>
      </c>
      <c r="K80">
        <v>0</v>
      </c>
    </row>
    <row r="81" spans="1:11" x14ac:dyDescent="0.35">
      <c r="A81" s="1">
        <v>45768</v>
      </c>
      <c r="B81" s="1" t="s">
        <v>6</v>
      </c>
      <c r="C81" s="4" t="s">
        <v>15</v>
      </c>
      <c r="D81" s="4" t="s">
        <v>15</v>
      </c>
      <c r="E81">
        <v>0</v>
      </c>
      <c r="F81" t="s">
        <v>16</v>
      </c>
      <c r="G81" s="4" t="s">
        <v>15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 s="1">
        <v>45769</v>
      </c>
      <c r="B82" s="1" t="s">
        <v>7</v>
      </c>
      <c r="C82" s="4" t="s">
        <v>15</v>
      </c>
      <c r="D82" s="4" t="s">
        <v>15</v>
      </c>
      <c r="E82">
        <v>0</v>
      </c>
      <c r="F82" t="s">
        <v>16</v>
      </c>
      <c r="G82" s="4" t="s">
        <v>15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 s="1">
        <v>45770</v>
      </c>
      <c r="B83" s="1" t="s">
        <v>8</v>
      </c>
      <c r="C83" s="4" t="s">
        <v>15</v>
      </c>
      <c r="D83" s="4" t="s">
        <v>15</v>
      </c>
      <c r="E83">
        <v>0</v>
      </c>
      <c r="F83" t="s">
        <v>16</v>
      </c>
      <c r="G83" s="4" t="s">
        <v>15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 s="1">
        <v>45771</v>
      </c>
      <c r="B84" s="1" t="s">
        <v>9</v>
      </c>
      <c r="C84" s="4" t="s">
        <v>15</v>
      </c>
      <c r="D84" s="4" t="s">
        <v>15</v>
      </c>
      <c r="E84">
        <v>0</v>
      </c>
      <c r="F84" t="s">
        <v>16</v>
      </c>
      <c r="G84" s="4" t="s">
        <v>15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 s="1">
        <v>45772</v>
      </c>
      <c r="B85" s="1" t="s">
        <v>10</v>
      </c>
      <c r="C85" s="4" t="s">
        <v>15</v>
      </c>
      <c r="D85" s="4" t="s">
        <v>15</v>
      </c>
      <c r="E85">
        <v>0</v>
      </c>
      <c r="F85" t="s">
        <v>16</v>
      </c>
      <c r="G85" s="4" t="s">
        <v>15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 s="1">
        <v>45773</v>
      </c>
      <c r="B86" s="1" t="s">
        <v>4</v>
      </c>
      <c r="C86" s="4" t="s">
        <v>15</v>
      </c>
      <c r="D86" s="4" t="s">
        <v>15</v>
      </c>
      <c r="E86">
        <v>0</v>
      </c>
      <c r="F86" t="s">
        <v>16</v>
      </c>
      <c r="G86" s="4" t="s">
        <v>15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 s="1">
        <v>45774</v>
      </c>
      <c r="B87" s="1" t="s">
        <v>5</v>
      </c>
      <c r="C87" s="4" t="s">
        <v>15</v>
      </c>
      <c r="D87" s="4" t="s">
        <v>15</v>
      </c>
      <c r="E87">
        <v>0</v>
      </c>
      <c r="F87" t="s">
        <v>16</v>
      </c>
      <c r="G87" s="4" t="s">
        <v>15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 s="1">
        <v>45775</v>
      </c>
      <c r="B88" s="1" t="s">
        <v>6</v>
      </c>
      <c r="C88" s="4" t="s">
        <v>15</v>
      </c>
      <c r="D88" s="4" t="s">
        <v>15</v>
      </c>
      <c r="E88">
        <v>0</v>
      </c>
      <c r="F88" t="s">
        <v>16</v>
      </c>
      <c r="G88" s="4" t="s">
        <v>15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 s="1">
        <v>45776</v>
      </c>
      <c r="B89" s="1" t="s">
        <v>7</v>
      </c>
      <c r="C89" s="4" t="s">
        <v>15</v>
      </c>
      <c r="D89" s="4" t="s">
        <v>15</v>
      </c>
      <c r="E89">
        <v>0</v>
      </c>
      <c r="F89" t="s">
        <v>16</v>
      </c>
      <c r="G89" s="4" t="s">
        <v>15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 s="1">
        <v>45777</v>
      </c>
      <c r="B90" s="1" t="s">
        <v>8</v>
      </c>
      <c r="C90" s="4" t="s">
        <v>15</v>
      </c>
      <c r="D90" s="4" t="s">
        <v>15</v>
      </c>
      <c r="E90">
        <v>0</v>
      </c>
      <c r="F90" t="s">
        <v>16</v>
      </c>
      <c r="G90" s="4" t="s">
        <v>15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 s="1">
        <v>45778</v>
      </c>
      <c r="B91" s="1" t="s">
        <v>9</v>
      </c>
      <c r="C91" s="4" t="s">
        <v>15</v>
      </c>
      <c r="D91" s="4" t="s">
        <v>15</v>
      </c>
      <c r="E91">
        <v>0</v>
      </c>
      <c r="F91" t="s">
        <v>16</v>
      </c>
      <c r="G91" s="4" t="s">
        <v>15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 s="1">
        <v>45779</v>
      </c>
      <c r="B92" s="1" t="s">
        <v>10</v>
      </c>
      <c r="C92" s="4" t="s">
        <v>15</v>
      </c>
      <c r="D92" s="4" t="s">
        <v>15</v>
      </c>
      <c r="E92">
        <v>0</v>
      </c>
      <c r="F92" t="s">
        <v>16</v>
      </c>
      <c r="G92" s="4" t="s">
        <v>15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 s="1">
        <v>45780</v>
      </c>
      <c r="B93" s="1" t="s">
        <v>4</v>
      </c>
      <c r="C93">
        <v>1780</v>
      </c>
      <c r="D93">
        <v>553</v>
      </c>
      <c r="E93">
        <f t="shared" ref="E93:E124" si="5">SUM(C93-D93)</f>
        <v>1227</v>
      </c>
      <c r="G93">
        <f t="shared" si="4"/>
        <v>465</v>
      </c>
      <c r="H93">
        <v>88</v>
      </c>
      <c r="I93">
        <v>0</v>
      </c>
      <c r="J93">
        <v>0</v>
      </c>
      <c r="K93">
        <v>0</v>
      </c>
    </row>
    <row r="94" spans="1:11" x14ac:dyDescent="0.35">
      <c r="A94" s="1">
        <v>45781</v>
      </c>
      <c r="B94" s="1" t="s">
        <v>5</v>
      </c>
      <c r="C94">
        <v>1210</v>
      </c>
      <c r="D94">
        <v>766</v>
      </c>
      <c r="E94">
        <f t="shared" si="5"/>
        <v>444</v>
      </c>
      <c r="G94">
        <f t="shared" si="4"/>
        <v>766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 s="1">
        <v>45782</v>
      </c>
      <c r="B95" s="1" t="s">
        <v>6</v>
      </c>
      <c r="C95">
        <v>1230</v>
      </c>
      <c r="D95">
        <v>19070</v>
      </c>
      <c r="E95">
        <f t="shared" si="5"/>
        <v>-17840</v>
      </c>
      <c r="F95" t="s">
        <v>13</v>
      </c>
      <c r="G95">
        <f t="shared" si="4"/>
        <v>3570</v>
      </c>
      <c r="H95">
        <v>0</v>
      </c>
      <c r="I95">
        <v>15500</v>
      </c>
      <c r="J95">
        <v>0</v>
      </c>
      <c r="K95">
        <v>0</v>
      </c>
    </row>
    <row r="96" spans="1:11" x14ac:dyDescent="0.35">
      <c r="A96" s="1">
        <v>45783</v>
      </c>
      <c r="B96" s="1" t="s">
        <v>7</v>
      </c>
      <c r="C96">
        <v>2060</v>
      </c>
      <c r="D96">
        <v>86</v>
      </c>
      <c r="E96">
        <f t="shared" si="5"/>
        <v>1974</v>
      </c>
      <c r="G96">
        <f t="shared" si="4"/>
        <v>86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 s="1">
        <v>45784</v>
      </c>
      <c r="B97" s="1" t="s">
        <v>8</v>
      </c>
      <c r="C97">
        <v>780</v>
      </c>
      <c r="D97">
        <v>25</v>
      </c>
      <c r="E97">
        <f t="shared" si="5"/>
        <v>755</v>
      </c>
      <c r="G97">
        <f t="shared" si="4"/>
        <v>25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 s="1">
        <v>45785</v>
      </c>
      <c r="B98" s="1" t="s">
        <v>9</v>
      </c>
      <c r="C98">
        <v>1140</v>
      </c>
      <c r="D98">
        <v>5283</v>
      </c>
      <c r="E98">
        <f t="shared" si="5"/>
        <v>-4143</v>
      </c>
      <c r="G98">
        <f t="shared" si="4"/>
        <v>5196</v>
      </c>
      <c r="H98">
        <v>87</v>
      </c>
      <c r="I98">
        <v>0</v>
      </c>
      <c r="J98">
        <v>0</v>
      </c>
      <c r="K98">
        <v>0</v>
      </c>
    </row>
    <row r="99" spans="1:11" x14ac:dyDescent="0.35">
      <c r="A99" s="1">
        <v>45786</v>
      </c>
      <c r="B99" s="1" t="s">
        <v>10</v>
      </c>
      <c r="C99">
        <v>450</v>
      </c>
      <c r="D99">
        <v>425</v>
      </c>
      <c r="E99">
        <f t="shared" si="5"/>
        <v>25</v>
      </c>
      <c r="G99">
        <f t="shared" si="4"/>
        <v>425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 s="1">
        <v>45787</v>
      </c>
      <c r="B100" s="1" t="s">
        <v>4</v>
      </c>
      <c r="C100">
        <v>800</v>
      </c>
      <c r="D100">
        <v>50</v>
      </c>
      <c r="E100">
        <f t="shared" si="5"/>
        <v>750</v>
      </c>
      <c r="G100">
        <f t="shared" si="4"/>
        <v>50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 s="1">
        <v>45788</v>
      </c>
      <c r="B101" s="1" t="s">
        <v>5</v>
      </c>
      <c r="C101">
        <v>3100</v>
      </c>
      <c r="D101">
        <v>236</v>
      </c>
      <c r="E101">
        <f t="shared" si="5"/>
        <v>2864</v>
      </c>
      <c r="G101">
        <f t="shared" si="4"/>
        <v>236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 s="1">
        <v>45789</v>
      </c>
      <c r="B102" s="1" t="s">
        <v>6</v>
      </c>
      <c r="C102">
        <v>1040</v>
      </c>
      <c r="D102">
        <v>3050</v>
      </c>
      <c r="E102">
        <f t="shared" si="5"/>
        <v>-2010</v>
      </c>
      <c r="G102">
        <f>D102-H102-I102-J102-K102</f>
        <v>50</v>
      </c>
      <c r="H102">
        <v>0</v>
      </c>
      <c r="I102">
        <v>0</v>
      </c>
      <c r="J102">
        <v>0</v>
      </c>
      <c r="K102">
        <v>3000</v>
      </c>
    </row>
    <row r="103" spans="1:11" x14ac:dyDescent="0.35">
      <c r="A103" s="1">
        <v>45790</v>
      </c>
      <c r="B103" s="1" t="s">
        <v>7</v>
      </c>
      <c r="C103">
        <v>1055</v>
      </c>
      <c r="D103">
        <v>556</v>
      </c>
      <c r="E103">
        <f t="shared" si="5"/>
        <v>499</v>
      </c>
      <c r="G103">
        <f t="shared" si="4"/>
        <v>466</v>
      </c>
      <c r="H103">
        <v>90</v>
      </c>
      <c r="I103">
        <v>0</v>
      </c>
      <c r="J103">
        <v>0</v>
      </c>
      <c r="K103">
        <v>0</v>
      </c>
    </row>
    <row r="104" spans="1:11" x14ac:dyDescent="0.35">
      <c r="A104" s="1">
        <v>45791</v>
      </c>
      <c r="B104" s="1" t="s">
        <v>8</v>
      </c>
      <c r="C104">
        <v>4210</v>
      </c>
      <c r="D104">
        <v>3190</v>
      </c>
      <c r="E104">
        <f t="shared" si="5"/>
        <v>1020</v>
      </c>
      <c r="G104">
        <f t="shared" si="4"/>
        <v>3190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 s="1">
        <v>45792</v>
      </c>
      <c r="B105" s="1" t="s">
        <v>9</v>
      </c>
      <c r="C105">
        <v>1260</v>
      </c>
      <c r="D105">
        <v>581</v>
      </c>
      <c r="E105">
        <f t="shared" si="5"/>
        <v>679</v>
      </c>
      <c r="G105">
        <f t="shared" si="4"/>
        <v>491</v>
      </c>
      <c r="H105">
        <v>90</v>
      </c>
      <c r="I105">
        <v>0</v>
      </c>
      <c r="J105">
        <v>0</v>
      </c>
      <c r="K105">
        <v>0</v>
      </c>
    </row>
    <row r="106" spans="1:11" x14ac:dyDescent="0.35">
      <c r="A106" s="1">
        <v>45793</v>
      </c>
      <c r="B106" s="1" t="s">
        <v>10</v>
      </c>
      <c r="C106">
        <v>1160</v>
      </c>
      <c r="D106">
        <v>335</v>
      </c>
      <c r="E106">
        <f t="shared" si="5"/>
        <v>825</v>
      </c>
      <c r="G106">
        <f t="shared" si="4"/>
        <v>335</v>
      </c>
      <c r="H106">
        <v>0</v>
      </c>
      <c r="I106">
        <v>0</v>
      </c>
      <c r="J106">
        <v>0</v>
      </c>
      <c r="K106">
        <v>0</v>
      </c>
    </row>
    <row r="107" spans="1:11" x14ac:dyDescent="0.35">
      <c r="A107" s="1">
        <v>45794</v>
      </c>
      <c r="B107" s="1" t="s">
        <v>4</v>
      </c>
      <c r="C107">
        <v>1900</v>
      </c>
      <c r="D107">
        <v>281</v>
      </c>
      <c r="E107">
        <f t="shared" si="5"/>
        <v>1619</v>
      </c>
      <c r="G107">
        <f t="shared" si="4"/>
        <v>281</v>
      </c>
      <c r="H107">
        <v>0</v>
      </c>
      <c r="I107">
        <v>0</v>
      </c>
      <c r="J107">
        <v>0</v>
      </c>
      <c r="K107">
        <v>0</v>
      </c>
    </row>
    <row r="108" spans="1:11" x14ac:dyDescent="0.35">
      <c r="A108" s="1">
        <v>45795</v>
      </c>
      <c r="B108" s="1" t="s">
        <v>5</v>
      </c>
      <c r="C108">
        <v>2900</v>
      </c>
      <c r="D108">
        <v>1711</v>
      </c>
      <c r="E108">
        <f t="shared" si="5"/>
        <v>1189</v>
      </c>
      <c r="G108">
        <f t="shared" si="4"/>
        <v>1711</v>
      </c>
      <c r="H108">
        <v>0</v>
      </c>
      <c r="I108">
        <v>0</v>
      </c>
      <c r="J108">
        <v>0</v>
      </c>
      <c r="K108">
        <v>0</v>
      </c>
    </row>
    <row r="109" spans="1:11" x14ac:dyDescent="0.35">
      <c r="A109" s="1">
        <v>45796</v>
      </c>
      <c r="B109" s="1" t="s">
        <v>6</v>
      </c>
      <c r="C109">
        <v>510</v>
      </c>
      <c r="D109">
        <v>1990</v>
      </c>
      <c r="E109">
        <f t="shared" si="5"/>
        <v>-1480</v>
      </c>
      <c r="G109">
        <f t="shared" si="4"/>
        <v>1990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 s="1">
        <v>45797</v>
      </c>
      <c r="B110" s="1" t="s">
        <v>7</v>
      </c>
      <c r="C110">
        <v>860</v>
      </c>
      <c r="D110">
        <v>7889</v>
      </c>
      <c r="E110">
        <f t="shared" si="5"/>
        <v>-7029</v>
      </c>
      <c r="G110">
        <f t="shared" si="4"/>
        <v>2546</v>
      </c>
      <c r="H110">
        <v>5343</v>
      </c>
      <c r="I110">
        <v>0</v>
      </c>
      <c r="J110">
        <v>0</v>
      </c>
      <c r="K110">
        <v>0</v>
      </c>
    </row>
    <row r="111" spans="1:11" x14ac:dyDescent="0.35">
      <c r="A111" s="1">
        <v>45798</v>
      </c>
      <c r="B111" s="1" t="s">
        <v>8</v>
      </c>
      <c r="C111">
        <v>1740</v>
      </c>
      <c r="D111">
        <v>146</v>
      </c>
      <c r="E111">
        <f t="shared" si="5"/>
        <v>1594</v>
      </c>
      <c r="G111">
        <f t="shared" si="4"/>
        <v>146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 s="1">
        <v>45799</v>
      </c>
      <c r="B112" s="1" t="s">
        <v>9</v>
      </c>
      <c r="C112">
        <v>1240</v>
      </c>
      <c r="D112">
        <v>136</v>
      </c>
      <c r="E112">
        <f t="shared" si="5"/>
        <v>1104</v>
      </c>
      <c r="G112">
        <f t="shared" si="4"/>
        <v>136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 s="1">
        <v>45800</v>
      </c>
      <c r="B113" s="1" t="s">
        <v>10</v>
      </c>
      <c r="C113">
        <v>1190</v>
      </c>
      <c r="D113">
        <v>140</v>
      </c>
      <c r="E113">
        <f t="shared" si="5"/>
        <v>1050</v>
      </c>
      <c r="G113">
        <f t="shared" si="4"/>
        <v>140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 s="1">
        <v>45801</v>
      </c>
      <c r="B114" s="1" t="s">
        <v>4</v>
      </c>
      <c r="C114">
        <v>1283</v>
      </c>
      <c r="D114">
        <v>913</v>
      </c>
      <c r="E114">
        <f t="shared" si="5"/>
        <v>370</v>
      </c>
      <c r="G114">
        <f t="shared" si="4"/>
        <v>825</v>
      </c>
      <c r="H114">
        <v>88</v>
      </c>
      <c r="I114">
        <v>0</v>
      </c>
      <c r="J114">
        <v>0</v>
      </c>
      <c r="K114">
        <v>0</v>
      </c>
    </row>
    <row r="115" spans="1:11" x14ac:dyDescent="0.35">
      <c r="A115" s="1">
        <v>45802</v>
      </c>
      <c r="B115" s="1" t="s">
        <v>5</v>
      </c>
      <c r="C115">
        <v>1005</v>
      </c>
      <c r="D115">
        <v>86</v>
      </c>
      <c r="E115">
        <f t="shared" si="5"/>
        <v>919</v>
      </c>
      <c r="G115">
        <f t="shared" si="4"/>
        <v>86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 s="1">
        <v>45803</v>
      </c>
      <c r="B116" s="1" t="s">
        <v>6</v>
      </c>
      <c r="C116">
        <v>1100</v>
      </c>
      <c r="D116">
        <v>555</v>
      </c>
      <c r="E116">
        <f t="shared" si="5"/>
        <v>545</v>
      </c>
      <c r="G116">
        <f t="shared" si="4"/>
        <v>100</v>
      </c>
      <c r="H116">
        <v>455</v>
      </c>
      <c r="I116">
        <v>0</v>
      </c>
      <c r="J116">
        <v>0</v>
      </c>
      <c r="K116">
        <v>0</v>
      </c>
    </row>
    <row r="117" spans="1:11" x14ac:dyDescent="0.35">
      <c r="A117" s="1">
        <v>45804</v>
      </c>
      <c r="B117" s="1" t="s">
        <v>7</v>
      </c>
      <c r="C117">
        <v>1570</v>
      </c>
      <c r="D117">
        <v>55</v>
      </c>
      <c r="E117">
        <f t="shared" si="5"/>
        <v>1515</v>
      </c>
      <c r="G117">
        <f t="shared" si="4"/>
        <v>55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 s="1">
        <v>45805</v>
      </c>
      <c r="B118" s="1" t="s">
        <v>8</v>
      </c>
      <c r="C118">
        <v>940</v>
      </c>
      <c r="D118">
        <v>227</v>
      </c>
      <c r="E118">
        <f t="shared" si="5"/>
        <v>713</v>
      </c>
      <c r="G118">
        <f t="shared" si="4"/>
        <v>227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 s="1">
        <v>45806</v>
      </c>
      <c r="B119" s="1" t="s">
        <v>9</v>
      </c>
      <c r="C119">
        <v>1550</v>
      </c>
      <c r="D119">
        <v>615</v>
      </c>
      <c r="E119">
        <f t="shared" si="5"/>
        <v>935</v>
      </c>
      <c r="G119">
        <f t="shared" si="4"/>
        <v>615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 s="1">
        <v>45807</v>
      </c>
      <c r="B120" s="1" t="s">
        <v>10</v>
      </c>
      <c r="C120">
        <v>1330</v>
      </c>
      <c r="D120">
        <v>133</v>
      </c>
      <c r="E120">
        <f t="shared" si="5"/>
        <v>1197</v>
      </c>
      <c r="G120">
        <f t="shared" si="4"/>
        <v>45</v>
      </c>
      <c r="H120">
        <v>88</v>
      </c>
      <c r="I120">
        <v>0</v>
      </c>
      <c r="J120">
        <v>0</v>
      </c>
      <c r="K120">
        <v>0</v>
      </c>
    </row>
    <row r="121" spans="1:11" x14ac:dyDescent="0.35">
      <c r="A121" s="1">
        <v>45808</v>
      </c>
      <c r="B121" s="1" t="s">
        <v>4</v>
      </c>
      <c r="C121">
        <v>2250</v>
      </c>
      <c r="D121">
        <v>488</v>
      </c>
      <c r="E121">
        <f t="shared" si="5"/>
        <v>1762</v>
      </c>
      <c r="G121">
        <f t="shared" si="4"/>
        <v>488</v>
      </c>
      <c r="H121">
        <v>0</v>
      </c>
      <c r="I121">
        <v>0</v>
      </c>
      <c r="J121">
        <v>0</v>
      </c>
      <c r="K121">
        <v>0</v>
      </c>
    </row>
    <row r="122" spans="1:11" x14ac:dyDescent="0.35">
      <c r="A122" s="1">
        <v>45809</v>
      </c>
      <c r="B122" s="1" t="s">
        <v>5</v>
      </c>
      <c r="C122">
        <v>1090</v>
      </c>
      <c r="D122">
        <v>50</v>
      </c>
      <c r="E122">
        <f t="shared" si="5"/>
        <v>1040</v>
      </c>
      <c r="G122">
        <f t="shared" si="4"/>
        <v>50</v>
      </c>
      <c r="H122">
        <v>0</v>
      </c>
      <c r="I122">
        <v>0</v>
      </c>
      <c r="J122">
        <v>0</v>
      </c>
      <c r="K122">
        <v>0</v>
      </c>
    </row>
    <row r="123" spans="1:11" x14ac:dyDescent="0.35">
      <c r="A123" s="1">
        <v>45810</v>
      </c>
      <c r="B123" s="1" t="s">
        <v>6</v>
      </c>
      <c r="C123">
        <v>990</v>
      </c>
      <c r="D123">
        <v>336</v>
      </c>
      <c r="E123">
        <f t="shared" si="5"/>
        <v>654</v>
      </c>
      <c r="G123">
        <f t="shared" si="4"/>
        <v>336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 s="1">
        <v>45811</v>
      </c>
      <c r="B124" s="1" t="s">
        <v>7</v>
      </c>
      <c r="C124">
        <v>780</v>
      </c>
      <c r="D124">
        <v>512</v>
      </c>
      <c r="E124">
        <f t="shared" si="5"/>
        <v>268</v>
      </c>
      <c r="G124">
        <f t="shared" si="4"/>
        <v>512</v>
      </c>
      <c r="H124">
        <v>0</v>
      </c>
      <c r="I124">
        <v>0</v>
      </c>
      <c r="J124">
        <v>0</v>
      </c>
      <c r="K124">
        <v>0</v>
      </c>
    </row>
    <row r="125" spans="1:11" x14ac:dyDescent="0.35">
      <c r="A125" s="1">
        <v>45812</v>
      </c>
      <c r="B125" s="1" t="s">
        <v>8</v>
      </c>
      <c r="C125">
        <v>910</v>
      </c>
      <c r="D125">
        <v>185</v>
      </c>
      <c r="E125">
        <f t="shared" ref="E125:E151" si="6">SUM(C125-D125)</f>
        <v>725</v>
      </c>
      <c r="G125">
        <f t="shared" si="4"/>
        <v>185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 s="1">
        <v>45813</v>
      </c>
      <c r="B126" s="1" t="s">
        <v>9</v>
      </c>
      <c r="C126">
        <v>1010</v>
      </c>
      <c r="D126">
        <v>466</v>
      </c>
      <c r="E126">
        <f t="shared" si="6"/>
        <v>544</v>
      </c>
      <c r="G126">
        <f t="shared" si="4"/>
        <v>376</v>
      </c>
      <c r="H126">
        <v>90</v>
      </c>
      <c r="I126">
        <v>0</v>
      </c>
      <c r="J126">
        <v>0</v>
      </c>
      <c r="K126">
        <v>0</v>
      </c>
    </row>
    <row r="127" spans="1:11" x14ac:dyDescent="0.35">
      <c r="A127" s="1">
        <v>45814</v>
      </c>
      <c r="B127" s="1" t="s">
        <v>10</v>
      </c>
      <c r="C127">
        <v>1130</v>
      </c>
      <c r="D127">
        <v>107</v>
      </c>
      <c r="E127">
        <f t="shared" si="6"/>
        <v>1023</v>
      </c>
      <c r="G127">
        <f t="shared" si="4"/>
        <v>107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 s="1">
        <v>45815</v>
      </c>
      <c r="B128" s="1" t="s">
        <v>4</v>
      </c>
      <c r="C128">
        <v>1790</v>
      </c>
      <c r="D128">
        <v>50</v>
      </c>
      <c r="E128">
        <f t="shared" si="6"/>
        <v>1740</v>
      </c>
      <c r="G128">
        <f t="shared" si="4"/>
        <v>50</v>
      </c>
      <c r="H128">
        <v>0</v>
      </c>
      <c r="I128">
        <v>0</v>
      </c>
      <c r="J128">
        <v>0</v>
      </c>
      <c r="K128">
        <v>0</v>
      </c>
    </row>
    <row r="129" spans="1:11" x14ac:dyDescent="0.35">
      <c r="A129" s="1">
        <v>45816</v>
      </c>
      <c r="B129" s="1" t="s">
        <v>5</v>
      </c>
      <c r="C129">
        <v>2090</v>
      </c>
      <c r="D129">
        <v>181</v>
      </c>
      <c r="E129">
        <f t="shared" si="6"/>
        <v>1909</v>
      </c>
      <c r="G129">
        <f t="shared" si="4"/>
        <v>181</v>
      </c>
      <c r="H129">
        <v>0</v>
      </c>
      <c r="I129">
        <v>0</v>
      </c>
      <c r="J129">
        <v>0</v>
      </c>
      <c r="K129">
        <v>0</v>
      </c>
    </row>
    <row r="130" spans="1:11" x14ac:dyDescent="0.35">
      <c r="A130" s="1">
        <v>45817</v>
      </c>
      <c r="B130" s="1" t="s">
        <v>6</v>
      </c>
      <c r="C130">
        <v>620</v>
      </c>
      <c r="D130">
        <v>162</v>
      </c>
      <c r="E130">
        <f t="shared" si="6"/>
        <v>458</v>
      </c>
      <c r="G130">
        <f t="shared" si="4"/>
        <v>162</v>
      </c>
      <c r="H130">
        <v>0</v>
      </c>
      <c r="I130">
        <v>0</v>
      </c>
      <c r="J130">
        <v>0</v>
      </c>
      <c r="K130">
        <v>0</v>
      </c>
    </row>
    <row r="131" spans="1:11" x14ac:dyDescent="0.35">
      <c r="A131" s="1">
        <v>45818</v>
      </c>
      <c r="B131" s="1" t="s">
        <v>7</v>
      </c>
      <c r="C131">
        <v>1800</v>
      </c>
      <c r="D131">
        <v>16517</v>
      </c>
      <c r="E131">
        <f t="shared" si="6"/>
        <v>-14717</v>
      </c>
      <c r="F131" t="s">
        <v>13</v>
      </c>
      <c r="G131">
        <f t="shared" si="4"/>
        <v>1400</v>
      </c>
      <c r="H131">
        <v>117</v>
      </c>
      <c r="I131">
        <v>15000</v>
      </c>
      <c r="J131">
        <v>0</v>
      </c>
      <c r="K131">
        <v>0</v>
      </c>
    </row>
    <row r="132" spans="1:11" x14ac:dyDescent="0.35">
      <c r="A132" s="1">
        <v>45819</v>
      </c>
      <c r="B132" s="1" t="s">
        <v>8</v>
      </c>
      <c r="C132">
        <v>890</v>
      </c>
      <c r="D132">
        <v>3790</v>
      </c>
      <c r="E132">
        <f t="shared" si="6"/>
        <v>-2900</v>
      </c>
      <c r="G132">
        <f t="shared" ref="G132:G151" si="7">D132-H132-I132-J132</f>
        <v>3790</v>
      </c>
      <c r="H132">
        <v>0</v>
      </c>
      <c r="I132">
        <v>0</v>
      </c>
      <c r="J132">
        <v>0</v>
      </c>
      <c r="K132">
        <v>0</v>
      </c>
    </row>
    <row r="133" spans="1:11" x14ac:dyDescent="0.35">
      <c r="A133" s="1">
        <v>45820</v>
      </c>
      <c r="B133" s="1" t="s">
        <v>9</v>
      </c>
      <c r="C133">
        <v>1490</v>
      </c>
      <c r="D133">
        <v>351</v>
      </c>
      <c r="E133">
        <f t="shared" si="6"/>
        <v>1139</v>
      </c>
      <c r="G133">
        <f t="shared" si="7"/>
        <v>351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 s="1">
        <v>45821</v>
      </c>
      <c r="B134" s="1" t="s">
        <v>10</v>
      </c>
      <c r="C134">
        <v>1820</v>
      </c>
      <c r="D134">
        <v>4100</v>
      </c>
      <c r="E134">
        <f t="shared" si="6"/>
        <v>-2280</v>
      </c>
      <c r="G134">
        <f t="shared" si="7"/>
        <v>3100</v>
      </c>
      <c r="H134">
        <v>0</v>
      </c>
      <c r="I134">
        <v>1000</v>
      </c>
      <c r="J134">
        <v>0</v>
      </c>
      <c r="K134">
        <v>0</v>
      </c>
    </row>
    <row r="135" spans="1:11" x14ac:dyDescent="0.35">
      <c r="A135" s="1">
        <v>45822</v>
      </c>
      <c r="B135" s="1" t="s">
        <v>4</v>
      </c>
      <c r="C135">
        <v>1650</v>
      </c>
      <c r="D135">
        <v>512</v>
      </c>
      <c r="E135">
        <f t="shared" si="6"/>
        <v>1138</v>
      </c>
      <c r="G135">
        <f t="shared" si="7"/>
        <v>512</v>
      </c>
      <c r="H135">
        <v>0</v>
      </c>
      <c r="I135">
        <v>0</v>
      </c>
      <c r="J135">
        <v>0</v>
      </c>
      <c r="K135">
        <v>0</v>
      </c>
    </row>
    <row r="136" spans="1:11" x14ac:dyDescent="0.35">
      <c r="A136" s="1">
        <v>45823</v>
      </c>
      <c r="B136" s="1" t="s">
        <v>5</v>
      </c>
      <c r="C136">
        <v>1900</v>
      </c>
      <c r="D136">
        <v>141</v>
      </c>
      <c r="E136">
        <f t="shared" si="6"/>
        <v>1759</v>
      </c>
      <c r="G136">
        <f t="shared" si="7"/>
        <v>141</v>
      </c>
      <c r="H136">
        <v>0</v>
      </c>
      <c r="I136">
        <v>0</v>
      </c>
      <c r="J136">
        <v>0</v>
      </c>
      <c r="K136">
        <v>0</v>
      </c>
    </row>
    <row r="137" spans="1:11" x14ac:dyDescent="0.35">
      <c r="A137" s="1">
        <v>45824</v>
      </c>
      <c r="B137" s="1" t="s">
        <v>6</v>
      </c>
      <c r="C137">
        <v>2100</v>
      </c>
      <c r="D137">
        <v>211</v>
      </c>
      <c r="E137">
        <f t="shared" si="6"/>
        <v>1889</v>
      </c>
      <c r="G137">
        <f t="shared" si="7"/>
        <v>211</v>
      </c>
      <c r="H137">
        <v>0</v>
      </c>
      <c r="I137">
        <v>0</v>
      </c>
      <c r="J137">
        <v>0</v>
      </c>
      <c r="K137">
        <v>0</v>
      </c>
    </row>
    <row r="138" spans="1:11" x14ac:dyDescent="0.35">
      <c r="A138" s="1">
        <v>45825</v>
      </c>
      <c r="B138" s="1" t="s">
        <v>7</v>
      </c>
      <c r="C138">
        <v>1105</v>
      </c>
      <c r="D138">
        <v>900</v>
      </c>
      <c r="E138">
        <f t="shared" si="6"/>
        <v>205</v>
      </c>
      <c r="G138">
        <f t="shared" si="7"/>
        <v>810</v>
      </c>
      <c r="H138">
        <v>90</v>
      </c>
      <c r="I138">
        <v>0</v>
      </c>
      <c r="J138">
        <v>0</v>
      </c>
      <c r="K138">
        <v>0</v>
      </c>
    </row>
    <row r="139" spans="1:11" x14ac:dyDescent="0.35">
      <c r="A139" s="1">
        <v>45826</v>
      </c>
      <c r="B139" s="1" t="s">
        <v>8</v>
      </c>
      <c r="C139">
        <v>1300</v>
      </c>
      <c r="D139">
        <v>276</v>
      </c>
      <c r="E139">
        <f t="shared" si="6"/>
        <v>1024</v>
      </c>
      <c r="G139">
        <f t="shared" si="7"/>
        <v>276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 s="1">
        <v>45827</v>
      </c>
      <c r="B140" s="1" t="s">
        <v>9</v>
      </c>
      <c r="C140">
        <v>980</v>
      </c>
      <c r="D140">
        <v>312</v>
      </c>
      <c r="E140">
        <f t="shared" si="6"/>
        <v>668</v>
      </c>
      <c r="G140">
        <f t="shared" si="7"/>
        <v>312</v>
      </c>
      <c r="H140">
        <v>0</v>
      </c>
      <c r="I140">
        <v>0</v>
      </c>
      <c r="J140">
        <v>0</v>
      </c>
      <c r="K140">
        <v>0</v>
      </c>
    </row>
    <row r="141" spans="1:11" x14ac:dyDescent="0.35">
      <c r="A141" s="1">
        <v>45828</v>
      </c>
      <c r="B141" s="1" t="s">
        <v>10</v>
      </c>
      <c r="C141">
        <v>450</v>
      </c>
      <c r="D141">
        <v>162</v>
      </c>
      <c r="E141">
        <f t="shared" si="6"/>
        <v>288</v>
      </c>
      <c r="G141">
        <f t="shared" si="7"/>
        <v>162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 s="1">
        <v>45829</v>
      </c>
      <c r="B142" s="1" t="s">
        <v>4</v>
      </c>
      <c r="C142">
        <v>1310</v>
      </c>
      <c r="D142">
        <v>556</v>
      </c>
      <c r="E142">
        <f t="shared" si="6"/>
        <v>754</v>
      </c>
      <c r="G142">
        <f t="shared" si="7"/>
        <v>556</v>
      </c>
      <c r="H142">
        <v>0</v>
      </c>
      <c r="I142">
        <v>0</v>
      </c>
      <c r="J142">
        <v>0</v>
      </c>
      <c r="K142">
        <v>0</v>
      </c>
    </row>
    <row r="143" spans="1:11" x14ac:dyDescent="0.35">
      <c r="A143" s="1">
        <v>45830</v>
      </c>
      <c r="B143" s="1" t="s">
        <v>5</v>
      </c>
      <c r="C143">
        <v>530</v>
      </c>
      <c r="D143">
        <v>10400</v>
      </c>
      <c r="E143">
        <f t="shared" si="6"/>
        <v>-9870</v>
      </c>
      <c r="G143">
        <f t="shared" si="7"/>
        <v>10400</v>
      </c>
      <c r="H143">
        <v>0</v>
      </c>
      <c r="I143">
        <v>0</v>
      </c>
      <c r="J143">
        <v>0</v>
      </c>
      <c r="K143">
        <v>0</v>
      </c>
    </row>
    <row r="144" spans="1:11" x14ac:dyDescent="0.35">
      <c r="A144" s="1">
        <v>45831</v>
      </c>
      <c r="B144" s="1" t="s">
        <v>6</v>
      </c>
      <c r="C144">
        <v>600</v>
      </c>
      <c r="D144">
        <v>0</v>
      </c>
      <c r="E144">
        <f t="shared" si="6"/>
        <v>600</v>
      </c>
      <c r="G144">
        <f t="shared" si="7"/>
        <v>0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 s="1">
        <v>45832</v>
      </c>
      <c r="B145" s="1" t="s">
        <v>7</v>
      </c>
      <c r="C145">
        <v>1710</v>
      </c>
      <c r="D145">
        <v>612</v>
      </c>
      <c r="E145">
        <f t="shared" si="6"/>
        <v>1098</v>
      </c>
      <c r="G145">
        <f t="shared" si="7"/>
        <v>612</v>
      </c>
      <c r="H145">
        <v>0</v>
      </c>
      <c r="I145">
        <v>0</v>
      </c>
      <c r="J145">
        <v>0</v>
      </c>
      <c r="K145">
        <v>0</v>
      </c>
    </row>
    <row r="146" spans="1:11" x14ac:dyDescent="0.35">
      <c r="A146" s="1">
        <v>45833</v>
      </c>
      <c r="B146" s="1" t="s">
        <v>8</v>
      </c>
      <c r="C146">
        <v>690</v>
      </c>
      <c r="D146">
        <v>0</v>
      </c>
      <c r="E146">
        <f t="shared" si="6"/>
        <v>690</v>
      </c>
      <c r="G146">
        <f t="shared" si="7"/>
        <v>0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 s="1">
        <v>45834</v>
      </c>
      <c r="B147" s="1" t="s">
        <v>9</v>
      </c>
      <c r="C147">
        <v>1390</v>
      </c>
      <c r="D147">
        <v>367</v>
      </c>
      <c r="E147">
        <f t="shared" si="6"/>
        <v>1023</v>
      </c>
      <c r="G147">
        <f t="shared" si="7"/>
        <v>367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 s="1">
        <v>45835</v>
      </c>
      <c r="B148" s="1" t="s">
        <v>10</v>
      </c>
      <c r="C148">
        <v>3680</v>
      </c>
      <c r="D148">
        <v>190</v>
      </c>
      <c r="E148">
        <f t="shared" si="6"/>
        <v>3490</v>
      </c>
      <c r="G148">
        <f t="shared" si="7"/>
        <v>190</v>
      </c>
      <c r="H148">
        <v>0</v>
      </c>
      <c r="I148">
        <v>0</v>
      </c>
      <c r="J148">
        <v>0</v>
      </c>
      <c r="K148">
        <v>0</v>
      </c>
    </row>
    <row r="149" spans="1:11" x14ac:dyDescent="0.35">
      <c r="A149" s="1">
        <v>45836</v>
      </c>
      <c r="B149" s="1" t="s">
        <v>4</v>
      </c>
      <c r="C149">
        <v>350</v>
      </c>
      <c r="D149">
        <v>0</v>
      </c>
      <c r="E149">
        <f t="shared" si="6"/>
        <v>350</v>
      </c>
      <c r="G149">
        <f t="shared" si="7"/>
        <v>0</v>
      </c>
      <c r="H149">
        <v>0</v>
      </c>
      <c r="I149">
        <v>0</v>
      </c>
      <c r="J149">
        <v>0</v>
      </c>
      <c r="K149">
        <v>0</v>
      </c>
    </row>
    <row r="150" spans="1:11" x14ac:dyDescent="0.35">
      <c r="A150" s="1">
        <v>45837</v>
      </c>
      <c r="B150" s="1" t="s">
        <v>5</v>
      </c>
      <c r="C150">
        <v>1080</v>
      </c>
      <c r="D150">
        <v>464</v>
      </c>
      <c r="E150">
        <f t="shared" si="6"/>
        <v>616</v>
      </c>
      <c r="G150">
        <f t="shared" si="7"/>
        <v>464</v>
      </c>
      <c r="H150">
        <v>0</v>
      </c>
      <c r="I150">
        <v>0</v>
      </c>
      <c r="J150">
        <v>0</v>
      </c>
      <c r="K150">
        <v>0</v>
      </c>
    </row>
    <row r="151" spans="1:11" x14ac:dyDescent="0.35">
      <c r="A151" s="1">
        <v>45838</v>
      </c>
      <c r="B151" s="1" t="s">
        <v>6</v>
      </c>
      <c r="C151">
        <v>2320</v>
      </c>
      <c r="D151">
        <v>50</v>
      </c>
      <c r="E151">
        <f t="shared" si="6"/>
        <v>2270</v>
      </c>
      <c r="G151">
        <f t="shared" si="7"/>
        <v>50</v>
      </c>
      <c r="H151">
        <v>0</v>
      </c>
      <c r="I151">
        <v>0</v>
      </c>
      <c r="J151">
        <v>0</v>
      </c>
      <c r="K151">
        <v>0</v>
      </c>
    </row>
  </sheetData>
  <phoneticPr fontId="1" type="noConversion"/>
  <pageMargins left="0.7" right="0.7" top="0.75" bottom="0.75" header="0.3" footer="0.3"/>
  <ignoredErrors>
    <ignoredError sqref="G10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A183-FA85-42C5-963E-F6AAC6E11DED}">
  <dimension ref="A1"/>
  <sheetViews>
    <sheetView workbookViewId="0">
      <selection activeCell="P33" sqref="P3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015F-3A0A-4F0F-8D83-20D2A3C2CDA6}">
  <dimension ref="A1"/>
  <sheetViews>
    <sheetView workbookViewId="0">
      <selection activeCell="L34" sqref="L3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90D9-1EBD-459E-94A3-06E1108C6B69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53F5-7C37-4B34-A7B6-FAE189DBFBC3}">
  <dimension ref="A3:C11"/>
  <sheetViews>
    <sheetView workbookViewId="0">
      <selection activeCell="D13" sqref="D13"/>
    </sheetView>
  </sheetViews>
  <sheetFormatPr defaultRowHeight="14.5" x14ac:dyDescent="0.35"/>
  <cols>
    <col min="1" max="1" width="13.1796875" bestFit="1" customWidth="1"/>
    <col min="2" max="2" width="15.7265625" bestFit="1" customWidth="1"/>
    <col min="3" max="3" width="16.1796875" bestFit="1" customWidth="1"/>
  </cols>
  <sheetData>
    <row r="3" spans="1:3" x14ac:dyDescent="0.35">
      <c r="A3" s="2" t="s">
        <v>17</v>
      </c>
      <c r="B3" t="s">
        <v>19</v>
      </c>
      <c r="C3" t="s">
        <v>20</v>
      </c>
    </row>
    <row r="4" spans="1:3" x14ac:dyDescent="0.35">
      <c r="A4" s="3" t="s">
        <v>5</v>
      </c>
      <c r="B4">
        <v>1550.9047619047619</v>
      </c>
      <c r="C4">
        <v>425.04545454545456</v>
      </c>
    </row>
    <row r="5" spans="1:3" x14ac:dyDescent="0.35">
      <c r="A5" s="3" t="s">
        <v>6</v>
      </c>
      <c r="B5">
        <v>1295</v>
      </c>
      <c r="C5">
        <v>-203.27272727272728</v>
      </c>
    </row>
    <row r="6" spans="1:3" x14ac:dyDescent="0.35">
      <c r="A6" s="3" t="s">
        <v>7</v>
      </c>
      <c r="B6">
        <v>1656.8421052631579</v>
      </c>
      <c r="C6">
        <v>-228.61904761904762</v>
      </c>
    </row>
    <row r="7" spans="1:3" x14ac:dyDescent="0.35">
      <c r="A7" s="3" t="s">
        <v>8</v>
      </c>
      <c r="B7">
        <v>1297.3684210526317</v>
      </c>
      <c r="C7">
        <v>111.33333333333333</v>
      </c>
    </row>
    <row r="8" spans="1:3" x14ac:dyDescent="0.35">
      <c r="A8" s="3" t="s">
        <v>9</v>
      </c>
      <c r="B8">
        <v>1271.578947368421</v>
      </c>
      <c r="C8">
        <v>-172.76190476190476</v>
      </c>
    </row>
    <row r="9" spans="1:3" x14ac:dyDescent="0.35">
      <c r="A9" s="3" t="s">
        <v>10</v>
      </c>
      <c r="B9">
        <v>1252.1052631578948</v>
      </c>
      <c r="C9">
        <v>558.23809523809518</v>
      </c>
    </row>
    <row r="10" spans="1:3" x14ac:dyDescent="0.35">
      <c r="A10" s="3" t="s">
        <v>4</v>
      </c>
      <c r="B10">
        <v>1700.8571428571429</v>
      </c>
      <c r="C10">
        <v>-238.40909090909091</v>
      </c>
    </row>
    <row r="11" spans="1:3" x14ac:dyDescent="0.35">
      <c r="A11" s="3" t="s">
        <v>18</v>
      </c>
      <c r="B11">
        <v>1436.7173913043478</v>
      </c>
      <c r="C11">
        <v>35.106666666666669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Working data</vt:lpstr>
      <vt:lpstr>Sales by date line chart</vt:lpstr>
      <vt:lpstr>Expense by date line chart</vt:lpstr>
      <vt:lpstr>Profit by date line chart</vt:lpstr>
      <vt:lpstr>Per day average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Vedaant Arora</dc:creator>
  <cp:lastModifiedBy>Vedaant Arora</cp:lastModifiedBy>
  <dcterms:created xsi:type="dcterms:W3CDTF">2025-07-07T19:52:00Z</dcterms:created>
  <dcterms:modified xsi:type="dcterms:W3CDTF">2026-05-03T12:08:25Z</dcterms:modified>
</cp:coreProperties>
</file>